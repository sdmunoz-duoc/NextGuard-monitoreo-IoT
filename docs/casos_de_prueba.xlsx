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sos" sheetId="2" state="visible" r:id="rId2"/>
    <sheet name="Resumen" sheetId="3" state="visible" r:id="rId3"/>
    <sheet name="Trazabilidad" sheetId="4" state="visible" r:id="rId4"/>
  </sheets>
  <definedNames>
    <definedName name="_xlnm._FilterDatabase" localSheetId="1" hidden="1">'Casos'!$A$1:$Q$76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usar esta matriz</t>
        </is>
      </c>
    </row>
    <row r="2">
      <c r="A2" t="inlineStr">
        <is>
          <t>1. Trabaja en la hoja 'Casos'. Actualiza Estado (lista desplegable), Resultado real, Fecha, Ejecutor y Evidencia.</t>
        </is>
      </c>
    </row>
    <row r="3">
      <c r="A3" t="inlineStr">
        <is>
          <t>2. La hoja 'Resumen' se recalcula sola (fórmulas COUNTIFS).</t>
        </is>
      </c>
    </row>
    <row r="4">
      <c r="A4" t="inlineStr">
        <is>
          <t>3. Tipo: A = automatizado con pytest, S = semi-automático (script/simulador), M = manual.</t>
        </is>
      </c>
    </row>
    <row r="5">
      <c r="A5" t="inlineStr">
        <is>
          <t>4. Un caso 'Falló' debe tener evidencia (captura del monitor serie, log de la API o consulta SQL).</t>
        </is>
      </c>
    </row>
    <row r="6">
      <c r="A6" t="inlineStr">
        <is>
          <t>5. La fuente de los casos es scripts/casos_de_prueba.py; si cambias el plan, regenera con generar_documentos.py.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42" customWidth="1" min="4" max="4"/>
    <col width="10" customWidth="1" min="5" max="5"/>
    <col width="10" customWidth="1" min="6" max="6"/>
    <col width="6" customWidth="1" min="7" max="7"/>
    <col width="38" customWidth="1" min="8" max="8"/>
    <col width="55" customWidth="1" min="9" max="9"/>
    <col width="24" customWidth="1" min="10" max="10"/>
    <col width="48" customWidth="1" min="11" max="11"/>
    <col width="40" customWidth="1" min="12" max="12"/>
    <col width="12" customWidth="1" min="13" max="13"/>
    <col width="32" customWidth="1" min="14" max="14"/>
    <col width="12" customWidth="1" min="15" max="15"/>
    <col width="14" customWidth="1" min="16" max="16"/>
    <col width="26" customWidth="1" min="17" max="17"/>
  </cols>
  <sheetData>
    <row r="1">
      <c r="A1" s="2" t="inlineStr">
        <is>
          <t>ID</t>
        </is>
      </c>
      <c r="B1" s="2" t="inlineStr">
        <is>
          <t>Nivel</t>
        </is>
      </c>
      <c r="C1" s="2" t="inlineStr">
        <is>
          <t>Componente</t>
        </is>
      </c>
      <c r="D1" s="2" t="inlineStr">
        <is>
          <t>Título</t>
        </is>
      </c>
      <c r="E1" s="2" t="inlineStr">
        <is>
          <t>Requisito</t>
        </is>
      </c>
      <c r="F1" s="2" t="inlineStr">
        <is>
          <t>Prioridad</t>
        </is>
      </c>
      <c r="G1" s="2" t="inlineStr">
        <is>
          <t>Tipo</t>
        </is>
      </c>
      <c r="H1" s="2" t="inlineStr">
        <is>
          <t>Precondiciones</t>
        </is>
      </c>
      <c r="I1" s="2" t="inlineStr">
        <is>
          <t>Pasos</t>
        </is>
      </c>
      <c r="J1" s="2" t="inlineStr">
        <is>
          <t>Datos de prueba</t>
        </is>
      </c>
      <c r="K1" s="2" t="inlineStr">
        <is>
          <t>Resultado esperado</t>
        </is>
      </c>
      <c r="L1" s="2" t="inlineStr">
        <is>
          <t>Automatización / referencia</t>
        </is>
      </c>
      <c r="M1" s="2" t="inlineStr">
        <is>
          <t>Estado</t>
        </is>
      </c>
      <c r="N1" s="2" t="inlineStr">
        <is>
          <t>Resultado real</t>
        </is>
      </c>
      <c r="O1" s="2" t="inlineStr">
        <is>
          <t>Fecha</t>
        </is>
      </c>
      <c r="P1" s="2" t="inlineStr">
        <is>
          <t>Ejecutor</t>
        </is>
      </c>
      <c r="Q1" s="2" t="inlineStr">
        <is>
          <t>Evidencia (captura/log)</t>
        </is>
      </c>
    </row>
    <row r="2">
      <c r="A2" s="3" t="inlineStr">
        <is>
          <t>IT-ENV-01</t>
        </is>
      </c>
      <c r="B2" s="3" t="inlineStr">
        <is>
          <t>N0</t>
        </is>
      </c>
      <c r="C2" s="3" t="inlineStr">
        <is>
          <t>Entorno AWS y Docker</t>
        </is>
      </c>
      <c r="D2" s="3" t="inlineStr">
        <is>
          <t>Acceso SSH a la EC2 y versión de Python</t>
        </is>
      </c>
      <c r="E2" s="3" t="inlineStr">
        <is>
          <t>RNF-02</t>
        </is>
      </c>
      <c r="F2" s="3" t="inlineStr">
        <is>
          <t>Alta</t>
        </is>
      </c>
      <c r="G2" s="3" t="inlineStr">
        <is>
          <t>M</t>
        </is>
      </c>
      <c r="H2" s="3" t="inlineStr">
        <is>
          <t>Laboratorio iniciado; EC2 en ejecución.</t>
        </is>
      </c>
      <c r="I2" s="3" t="inlineStr">
        <is>
          <t>1. ssh -i labsuser.pem ec2-user@&lt;IP&gt;
2. python3 --version</t>
        </is>
      </c>
      <c r="J2" s="3" t="inlineStr">
        <is>
          <t>IP pública / Elastic IP</t>
        </is>
      </c>
      <c r="K2" s="3" t="inlineStr">
        <is>
          <t>Acceso correcto; Python ≥ 3.11 disponible.</t>
        </is>
      </c>
      <c r="L2" s="3" t="inlineStr"/>
      <c r="M2" s="3" t="inlineStr">
        <is>
          <t>Pendiente</t>
        </is>
      </c>
      <c r="N2" s="3" t="inlineStr"/>
      <c r="O2" s="3" t="inlineStr"/>
      <c r="P2" s="3" t="inlineStr"/>
      <c r="Q2" s="3" t="inlineStr"/>
    </row>
    <row r="3">
      <c r="A3" s="3" t="inlineStr">
        <is>
          <t>IT-ENV-02</t>
        </is>
      </c>
      <c r="B3" s="3" t="inlineStr">
        <is>
          <t>N0</t>
        </is>
      </c>
      <c r="C3" s="3" t="inlineStr">
        <is>
          <t>Entorno AWS y Docker</t>
        </is>
      </c>
      <c r="D3" s="3" t="inlineStr">
        <is>
          <t>Puerto de la API alcanzable desde la red del ESP32</t>
        </is>
      </c>
      <c r="E3" s="3" t="inlineStr">
        <is>
          <t>RF-03</t>
        </is>
      </c>
      <c r="F3" s="3" t="inlineStr">
        <is>
          <t>Alta</t>
        </is>
      </c>
      <c r="G3" s="3" t="inlineStr">
        <is>
          <t>M</t>
        </is>
      </c>
      <c r="H3" s="3" t="inlineStr">
        <is>
          <t>SG `sg-api` con regla de entrada TCP 8000; API en ejecución.</t>
        </is>
      </c>
      <c r="I3" s="3" t="inlineStr">
        <is>
          <t>1. Desde un celular con datos móviles y desde el WiFi del ESP32: abrir http://&lt;IP&gt;:8000/health</t>
        </is>
      </c>
      <c r="J3" s="3" t="inlineStr">
        <is>
          <t>URL /health</t>
        </is>
      </c>
      <c r="K3" s="3" t="inlineStr">
        <is>
          <t>Responde 200 con {"status":"ok","db":"ok"} desde ambas redes.</t>
        </is>
      </c>
      <c r="L3" s="3" t="inlineStr"/>
      <c r="M3" s="3" t="inlineStr">
        <is>
          <t>Pendiente</t>
        </is>
      </c>
      <c r="N3" s="3" t="inlineStr"/>
      <c r="O3" s="3" t="inlineStr"/>
      <c r="P3" s="3" t="inlineStr"/>
      <c r="Q3" s="3" t="inlineStr"/>
    </row>
    <row r="4">
      <c r="A4" s="3" t="inlineStr">
        <is>
          <t>IT-ENV-03</t>
        </is>
      </c>
      <c r="B4" s="3" t="inlineStr">
        <is>
          <t>N0</t>
        </is>
      </c>
      <c r="C4" s="3" t="inlineStr">
        <is>
          <t>Entorno AWS y Docker</t>
        </is>
      </c>
      <c r="D4" s="3" t="inlineStr">
        <is>
          <t>Stack docker compose sano y PostgreSQL sin puertos publicados</t>
        </is>
      </c>
      <c r="E4" s="3" t="inlineStr">
        <is>
          <t>RNF-03</t>
        </is>
      </c>
      <c r="F4" s="3" t="inlineStr">
        <is>
          <t>Alta</t>
        </is>
      </c>
      <c r="G4" s="3" t="inlineStr">
        <is>
          <t>M</t>
        </is>
      </c>
      <c r="H4" s="3" t="inlineStr">
        <is>
          <t>EC2 con Docker; `deploy/.env` creado.</t>
        </is>
      </c>
      <c r="I4" s="3" t="inlineStr">
        <is>
          <t>1. En la EC2: cd deploy &amp;&amp; docker compose up -d --build
2. docker compose ps (todos healthy)
3. docker compose exec db psql -U sensores_app -d sensores -c 'SELECT 1'
4. docker compose port db 5432</t>
        </is>
      </c>
      <c r="J4" s="3" t="inlineStr">
        <is>
          <t>deploy/docker-compose.yml</t>
        </is>
      </c>
      <c r="K4" s="3" t="inlineStr">
        <is>
          <t>api y db en estado healthy; `SELECT 1` devuelve 1; `docker compose port db 5432` no devuelve ningún puerto publicado.</t>
        </is>
      </c>
      <c r="L4" s="3" t="inlineStr"/>
      <c r="M4" s="3" t="inlineStr">
        <is>
          <t>Pendiente</t>
        </is>
      </c>
      <c r="N4" s="3" t="inlineStr"/>
      <c r="O4" s="3" t="inlineStr"/>
      <c r="P4" s="3" t="inlineStr"/>
      <c r="Q4" s="3" t="inlineStr"/>
    </row>
    <row r="5">
      <c r="A5" s="3" t="inlineStr">
        <is>
          <t>IT-ENV-04</t>
        </is>
      </c>
      <c r="B5" s="3" t="inlineStr">
        <is>
          <t>N0</t>
        </is>
      </c>
      <c r="C5" s="3" t="inlineStr">
        <is>
          <t>Entorno AWS y Docker</t>
        </is>
      </c>
      <c r="D5" s="3" t="inlineStr">
        <is>
          <t>Esquema aplicado con restricciones</t>
        </is>
      </c>
      <c r="E5" s="3" t="inlineStr">
        <is>
          <t>RF-04</t>
        </is>
      </c>
      <c r="F5" s="3" t="inlineStr">
        <is>
          <t>Alta</t>
        </is>
      </c>
      <c r="G5" s="3" t="inlineStr">
        <is>
          <t>M</t>
        </is>
      </c>
      <c r="H5" s="3" t="inlineStr">
        <is>
          <t>Contenedor `db` iniciado con el volumen vacío (aplica `db/schema.sql` al inicializar).</t>
        </is>
      </c>
      <c r="I5" s="3" t="inlineStr">
        <is>
          <t>1. docker compose exec db psql -U sensores_app -d sensores
2. En psql: \d lectura
3. Verificar UNIQUE (dispositivo_id, seq) y FKs con ON DELETE CASCADE
4. Verificar que existe el rol grafana_ro con solo SELECT</t>
        </is>
      </c>
      <c r="J5" s="3" t="inlineStr">
        <is>
          <t>db/schema.sql · db/02-roles.sh</t>
        </is>
      </c>
      <c r="K5" s="3" t="inlineStr">
        <is>
          <t>Existen dispositivo, lectura y medicion con índices y restricciones.</t>
        </is>
      </c>
      <c r="L5" s="3" t="inlineStr"/>
      <c r="M5" s="3" t="inlineStr">
        <is>
          <t>Pendiente</t>
        </is>
      </c>
      <c r="N5" s="3" t="inlineStr"/>
      <c r="O5" s="3" t="inlineStr"/>
      <c r="P5" s="3" t="inlineStr"/>
      <c r="Q5" s="3" t="inlineStr"/>
    </row>
    <row r="6">
      <c r="A6" s="3" t="inlineStr">
        <is>
          <t>IT-ENV-05</t>
        </is>
      </c>
      <c r="B6" s="3" t="inlineStr">
        <is>
          <t>N0</t>
        </is>
      </c>
      <c r="C6" s="3" t="inlineStr">
        <is>
          <t>Entorno AWS y Docker</t>
        </is>
      </c>
      <c r="D6" s="3" t="inlineStr">
        <is>
          <t>Contenedores con política de reinicio</t>
        </is>
      </c>
      <c r="E6" s="3" t="inlineStr">
        <is>
          <t>RNF-02</t>
        </is>
      </c>
      <c r="F6" s="3" t="inlineStr">
        <is>
          <t>Media</t>
        </is>
      </c>
      <c r="G6" s="3" t="inlineStr">
        <is>
          <t>M</t>
        </is>
      </c>
      <c r="H6" s="3" t="inlineStr">
        <is>
          <t>Stack en ejecución.</t>
        </is>
      </c>
      <c r="I6" s="3" t="inlineStr">
        <is>
          <t>1. docker inspect -f '{{.HostConfig.RestartPolicy.Name}}' nextguard-api-1 nextguard-db-1 nextguard-grafana-1
2. curl localhost:8000/health</t>
        </is>
      </c>
      <c r="J6" s="3" t="inlineStr">
        <is>
          <t>—</t>
        </is>
      </c>
      <c r="K6" s="3" t="inlineStr">
        <is>
          <t>Los tres contenedores usan `unless-stopped`; /health = 200.</t>
        </is>
      </c>
      <c r="L6" s="3" t="inlineStr"/>
      <c r="M6" s="3" t="inlineStr">
        <is>
          <t>Pendiente</t>
        </is>
      </c>
      <c r="N6" s="3" t="inlineStr"/>
      <c r="O6" s="3" t="inlineStr"/>
      <c r="P6" s="3" t="inlineStr"/>
      <c r="Q6" s="3" t="inlineStr"/>
    </row>
    <row r="7">
      <c r="A7" s="3" t="inlineStr">
        <is>
          <t>IT-ENV-06</t>
        </is>
      </c>
      <c r="B7" s="3" t="inlineStr">
        <is>
          <t>N0</t>
        </is>
      </c>
      <c r="C7" s="3" t="inlineStr">
        <is>
          <t>Entorno AWS y Docker</t>
        </is>
      </c>
      <c r="D7" s="3" t="inlineStr">
        <is>
          <t>Prueba de humo del entorno</t>
        </is>
      </c>
      <c r="E7" s="3" t="inlineStr">
        <is>
          <t>RNF-02</t>
        </is>
      </c>
      <c r="F7" s="3" t="inlineStr">
        <is>
          <t>Alta</t>
        </is>
      </c>
      <c r="G7" s="3" t="inlineStr">
        <is>
          <t>S</t>
        </is>
      </c>
      <c r="H7" s="3" t="inlineStr">
        <is>
          <t>Stack docker compose operativo.</t>
        </is>
      </c>
      <c r="I7" s="3" t="inlineStr">
        <is>
          <t>1. En la EC2: API_URL=http://localhost:8000 API_KEY=... GRAFANA_URL=http://localhost:3000 ./scripts/smoke_env.sh</t>
        </is>
      </c>
      <c r="J7" s="3" t="inlineStr">
        <is>
          <t>smoke_env.sh</t>
        </is>
      </c>
      <c r="K7" s="3" t="inlineStr">
        <is>
          <t>Todas las verificaciones [OK], código de salida 0.</t>
        </is>
      </c>
      <c r="L7" s="3" t="inlineStr">
        <is>
          <t>scripts/smoke_env.sh</t>
        </is>
      </c>
      <c r="M7" s="3" t="inlineStr">
        <is>
          <t>Pendiente</t>
        </is>
      </c>
      <c r="N7" s="3" t="inlineStr"/>
      <c r="O7" s="3" t="inlineStr"/>
      <c r="P7" s="3" t="inlineStr"/>
      <c r="Q7" s="3" t="inlineStr"/>
    </row>
    <row r="8">
      <c r="A8" s="3" t="inlineStr">
        <is>
          <t>IT-ENV-07</t>
        </is>
      </c>
      <c r="B8" s="3" t="inlineStr">
        <is>
          <t>N0</t>
        </is>
      </c>
      <c r="C8" s="3" t="inlineStr">
        <is>
          <t>Entorno AWS y Docker</t>
        </is>
      </c>
      <c r="D8" s="3" t="inlineStr">
        <is>
          <t>Grafana con datasource y dashboard aprovisionados</t>
        </is>
      </c>
      <c r="E8" s="3" t="inlineStr">
        <is>
          <t>RF-08</t>
        </is>
      </c>
      <c r="F8" s="3" t="inlineStr">
        <is>
          <t>Alta</t>
        </is>
      </c>
      <c r="G8" s="3" t="inlineStr">
        <is>
          <t>S</t>
        </is>
      </c>
      <c r="H8" s="3" t="inlineStr">
        <is>
          <t>Stack en ejecución; lecturas enviadas con el simulador.</t>
        </is>
      </c>
      <c r="I8" s="3" t="inlineStr">
        <is>
          <t>1. Abrir http://&lt;IP&gt;:3000 e iniciar sesión con el usuario de .env
2. Connections → Data sources → NextGuard → Save &amp; test
3. Abrir el dashboard «NextGuard · Monitoreo IoT»</t>
        </is>
      </c>
      <c r="J8" s="3" t="inlineStr">
        <is>
          <t>deploy/grafana/</t>
        </is>
      </c>
      <c r="K8" s="3" t="inlineStr">
        <is>
          <t>El datasource responde «Database Connection OK»; los paneles de temperatura, humedad y lecturas por minuto muestran las lecturas del simulador.</t>
        </is>
      </c>
      <c r="L8" s="3" t="inlineStr"/>
      <c r="M8" s="3" t="inlineStr">
        <is>
          <t>Pendiente</t>
        </is>
      </c>
      <c r="N8" s="3" t="inlineStr"/>
      <c r="O8" s="3" t="inlineStr"/>
      <c r="P8" s="3" t="inlineStr"/>
      <c r="Q8" s="3" t="inlineStr"/>
    </row>
    <row r="9">
      <c r="A9" s="3" t="inlineStr">
        <is>
          <t>IT-ENV-08</t>
        </is>
      </c>
      <c r="B9" s="3" t="inlineStr">
        <is>
          <t>N0</t>
        </is>
      </c>
      <c r="C9" s="3" t="inlineStr">
        <is>
          <t>Entorno AWS y Docker</t>
        </is>
      </c>
      <c r="D9" s="3" t="inlineStr">
        <is>
          <t>Persistencia de datos tras bajar y subir el stack</t>
        </is>
      </c>
      <c r="E9" s="3" t="inlineStr">
        <is>
          <t>RNF-02</t>
        </is>
      </c>
      <c r="F9" s="3" t="inlineStr">
        <is>
          <t>Alta</t>
        </is>
      </c>
      <c r="G9" s="3" t="inlineStr">
        <is>
          <t>S</t>
        </is>
      </c>
      <c r="H9" s="3" t="inlineStr">
        <is>
          <t>Lecturas cargadas en la BD.</t>
        </is>
      </c>
      <c r="I9" s="3" t="inlineStr">
        <is>
          <t>1. docker compose down (sin -v)
2. docker compose up -d
3. GET /api/v1/lecturas y abrir el dashboard</t>
        </is>
      </c>
      <c r="J9" s="3" t="inlineStr">
        <is>
          <t>—</t>
        </is>
      </c>
      <c r="K9" s="3" t="inlineStr">
        <is>
          <t>Las lecturas y el dashboard siguen disponibles; la API reconecta sola a la BD.</t>
        </is>
      </c>
      <c r="L9" s="3" t="inlineStr"/>
      <c r="M9" s="3" t="inlineStr">
        <is>
          <t>Pendiente</t>
        </is>
      </c>
      <c r="N9" s="3" t="inlineStr"/>
      <c r="O9" s="3" t="inlineStr"/>
      <c r="P9" s="3" t="inlineStr"/>
      <c r="Q9" s="3" t="inlineStr"/>
    </row>
    <row r="10">
      <c r="A10" s="3" t="inlineStr">
        <is>
          <t>IT-SEN-01</t>
        </is>
      </c>
      <c r="B10" s="3" t="inlineStr">
        <is>
          <t>N1</t>
        </is>
      </c>
      <c r="C10" s="3" t="inlineStr">
        <is>
          <t>Sensor ↔ ESP32</t>
        </is>
      </c>
      <c r="D10" s="3" t="inlineStr">
        <is>
          <t>Lectura DHT válida y dentro de rango</t>
        </is>
      </c>
      <c r="E10" s="3" t="inlineStr">
        <is>
          <t>RF-01</t>
        </is>
      </c>
      <c r="F10" s="3" t="inlineStr">
        <is>
          <t>Alta</t>
        </is>
      </c>
      <c r="G10" s="3" t="inlineStr">
        <is>
          <t>M</t>
        </is>
      </c>
      <c r="H10" s="3" t="inlineStr">
        <is>
          <t>USE_DHT=1; DHT cableado (VCC, GND, DATA con pull-up); monitor serie a 115200.</t>
        </is>
      </c>
      <c r="I10" s="3" t="inlineStr">
        <is>
          <t>1. Cargar firmware
2. Observar 10 muestras en el monitor serie
3. Comparar con un termómetro/higrómetro de referencia</t>
        </is>
      </c>
      <c r="J10" s="3" t="inlineStr">
        <is>
          <t>DHT11 o DHT22</t>
        </is>
      </c>
      <c r="K10" s="3" t="inlineStr">
        <is>
          <t>T entre -40 y 80 °C y H entre 0 y 100 %; diferencia con la referencia dentro de la tolerancia del sensor (DHT22 ±0,5 °C; DHT11 ±2 °C).</t>
        </is>
      </c>
      <c r="L10" s="3" t="inlineStr"/>
      <c r="M10" s="3" t="inlineStr">
        <is>
          <t>Pendiente</t>
        </is>
      </c>
      <c r="N10" s="3" t="inlineStr"/>
      <c r="O10" s="3" t="inlineStr"/>
      <c r="P10" s="3" t="inlineStr"/>
      <c r="Q10" s="3" t="inlineStr"/>
    </row>
    <row r="11">
      <c r="A11" s="3" t="inlineStr">
        <is>
          <t>IT-SEN-02</t>
        </is>
      </c>
      <c r="B11" s="3" t="inlineStr">
        <is>
          <t>N1</t>
        </is>
      </c>
      <c r="C11" s="3" t="inlineStr">
        <is>
          <t>Sensor ↔ ESP32</t>
        </is>
      </c>
      <c r="D11" s="3" t="inlineStr">
        <is>
          <t>Lectura inválida (NaN) no se envía y el sistema sigue</t>
        </is>
      </c>
      <c r="E11" s="3" t="inlineStr">
        <is>
          <t>RF-05</t>
        </is>
      </c>
      <c r="F11" s="3" t="inlineStr">
        <is>
          <t>Alta</t>
        </is>
      </c>
      <c r="G11" s="3" t="inlineStr">
        <is>
          <t>M</t>
        </is>
      </c>
      <c r="H11" s="3" t="inlineStr">
        <is>
          <t>Firmware ejecutándose con DHT real.</t>
        </is>
      </c>
      <c r="I11" s="3" t="inlineStr">
        <is>
          <t>1. Desconectar el pin DATA durante 30 s
2. Reconectarlo</t>
        </is>
      </c>
      <c r="J11" s="3" t="inlineStr">
        <is>
          <t>—</t>
        </is>
      </c>
      <c r="K11" s="3" t="inlineStr">
        <is>
          <t>Se imprime '[SENSOR] lectura inválida' y no se encola nada; al reconectar se retoman las lecturas sin reiniciar.</t>
        </is>
      </c>
      <c r="L11" s="3" t="inlineStr"/>
      <c r="M11" s="3" t="inlineStr">
        <is>
          <t>Pendiente</t>
        </is>
      </c>
      <c r="N11" s="3" t="inlineStr"/>
      <c r="O11" s="3" t="inlineStr"/>
      <c r="P11" s="3" t="inlineStr"/>
      <c r="Q11" s="3" t="inlineStr"/>
    </row>
    <row r="12">
      <c r="A12" s="3" t="inlineStr">
        <is>
          <t>IT-SEN-03</t>
        </is>
      </c>
      <c r="B12" s="3" t="inlineStr">
        <is>
          <t>N1</t>
        </is>
      </c>
      <c r="C12" s="3" t="inlineStr">
        <is>
          <t>Sensor ↔ ESP32</t>
        </is>
      </c>
      <c r="D12" s="3" t="inlineStr">
        <is>
          <t>Frecuencia de muestreo</t>
        </is>
      </c>
      <c r="E12" s="3" t="inlineStr">
        <is>
          <t>RF-01</t>
        </is>
      </c>
      <c r="F12" s="3" t="inlineStr">
        <is>
          <t>Media</t>
        </is>
      </c>
      <c r="G12" s="3" t="inlineStr">
        <is>
          <t>M</t>
        </is>
      </c>
      <c r="H12" s="3" t="inlineStr">
        <is>
          <t>Firmware ejecutándose.</t>
        </is>
      </c>
      <c r="I12" s="3" t="inlineStr">
        <is>
          <t>1. Registrar durante 5 min las marcas de tiempo de [MUESTRA]
2. Calcular el periodo medio</t>
        </is>
      </c>
      <c r="J12" s="3" t="inlineStr">
        <is>
          <t>INTERVALO_MS = 10000</t>
        </is>
      </c>
      <c r="K12" s="3" t="inlineStr">
        <is>
          <t>Periodo medio 10 s ±5 %; sin ráfagas ni huecos.</t>
        </is>
      </c>
      <c r="L12" s="3" t="inlineStr"/>
      <c r="M12" s="3" t="inlineStr">
        <is>
          <t>Pendiente</t>
        </is>
      </c>
      <c r="N12" s="3" t="inlineStr"/>
      <c r="O12" s="3" t="inlineStr"/>
      <c r="P12" s="3" t="inlineStr"/>
      <c r="Q12" s="3" t="inlineStr"/>
    </row>
    <row r="13">
      <c r="A13" s="3" t="inlineStr">
        <is>
          <t>IT-SEN-04</t>
        </is>
      </c>
      <c r="B13" s="3" t="inlineStr">
        <is>
          <t>N1</t>
        </is>
      </c>
      <c r="C13" s="3" t="inlineStr">
        <is>
          <t>Sensor ↔ ESP32</t>
        </is>
      </c>
      <c r="D13" s="3" t="inlineStr">
        <is>
          <t>Respuesta a un cambio físico</t>
        </is>
      </c>
      <c r="E13" s="3" t="inlineStr">
        <is>
          <t>RF-01</t>
        </is>
      </c>
      <c r="F13" s="3" t="inlineStr">
        <is>
          <t>Media</t>
        </is>
      </c>
      <c r="G13" s="3" t="inlineStr">
        <is>
          <t>M</t>
        </is>
      </c>
      <c r="H13" s="3" t="inlineStr">
        <is>
          <t>Firmware ejecutándose y llegando datos a la BD.</t>
        </is>
      </c>
      <c r="I13" s="3" t="inlineStr">
        <is>
          <t>1. Exhalar sobre el sensor 5 s
2. Consultar las últimas lecturas por API</t>
        </is>
      </c>
      <c r="J13" s="3" t="inlineStr">
        <is>
          <t>—</t>
        </is>
      </c>
      <c r="K13" s="3" t="inlineStr">
        <is>
          <t>La humedad sube de forma visible y el cambio aparece en la BD.</t>
        </is>
      </c>
      <c r="L13" s="3" t="inlineStr"/>
      <c r="M13" s="3" t="inlineStr">
        <is>
          <t>Pendiente</t>
        </is>
      </c>
      <c r="N13" s="3" t="inlineStr"/>
      <c r="O13" s="3" t="inlineStr"/>
      <c r="P13" s="3" t="inlineStr"/>
      <c r="Q13" s="3" t="inlineStr"/>
    </row>
    <row r="14">
      <c r="A14" s="3" t="inlineStr">
        <is>
          <t>IT-SEN-05</t>
        </is>
      </c>
      <c r="B14" s="3" t="inlineStr">
        <is>
          <t>N1</t>
        </is>
      </c>
      <c r="C14" s="3" t="inlineStr">
        <is>
          <t>Sensor ↔ ESP32</t>
        </is>
      </c>
      <c r="D14" s="3" t="inlineStr">
        <is>
          <t>Modo simulado sin hardware</t>
        </is>
      </c>
      <c r="E14" s="3" t="inlineStr">
        <is>
          <t>RF-01</t>
        </is>
      </c>
      <c r="F14" s="3" t="inlineStr">
        <is>
          <t>Baja</t>
        </is>
      </c>
      <c r="G14" s="3" t="inlineStr">
        <is>
          <t>M</t>
        </is>
      </c>
      <c r="H14" s="3" t="inlineStr">
        <is>
          <t>USE_DHT=0.</t>
        </is>
      </c>
      <c r="I14" s="3" t="inlineStr">
        <is>
          <t>1. Cargar firmware
2. Observar 20 muestras</t>
        </is>
      </c>
      <c r="J14" s="3" t="inlineStr">
        <is>
          <t>—</t>
        </is>
      </c>
      <c r="K14" s="3" t="inlineStr">
        <is>
          <t>Valores plausibles (T ≈ 22 °C variando ≤ 0,3 °C por muestra; H entre 0 y 100 %).</t>
        </is>
      </c>
      <c r="L14" s="3" t="inlineStr"/>
      <c r="M14" s="3" t="inlineStr">
        <is>
          <t>Pendiente</t>
        </is>
      </c>
      <c r="N14" s="3" t="inlineStr"/>
      <c r="O14" s="3" t="inlineStr"/>
      <c r="P14" s="3" t="inlineStr"/>
      <c r="Q14" s="3" t="inlineStr"/>
    </row>
    <row r="15">
      <c r="A15" s="3" t="inlineStr">
        <is>
          <t>IT-NET-01</t>
        </is>
      </c>
      <c r="B15" s="3" t="inlineStr">
        <is>
          <t>N2</t>
        </is>
      </c>
      <c r="C15" s="3" t="inlineStr">
        <is>
          <t>ESP32 ↔ Red WiFi / NTP</t>
        </is>
      </c>
      <c r="D15" s="3" t="inlineStr">
        <is>
          <t>Conexión WiFi inicial e IP</t>
        </is>
      </c>
      <c r="E15" s="3" t="inlineStr">
        <is>
          <t>RF-02</t>
        </is>
      </c>
      <c r="F15" s="3" t="inlineStr">
        <is>
          <t>Alta</t>
        </is>
      </c>
      <c r="G15" s="3" t="inlineStr">
        <is>
          <t>M</t>
        </is>
      </c>
      <c r="H15" s="3" t="inlineStr">
        <is>
          <t>Red 2.4 GHz con WPA2; config.h correcto.</t>
        </is>
      </c>
      <c r="I15" s="3" t="inlineStr">
        <is>
          <t>1. Encender el ESP32
2. Observar el monitor serie</t>
        </is>
      </c>
      <c r="J15" s="3" t="inlineStr">
        <is>
          <t>SSID/clave</t>
        </is>
      </c>
      <c r="K15" s="3" t="inlineStr">
        <is>
          <t>Se imprime la IP asignada en menos de 20 s.</t>
        </is>
      </c>
      <c r="L15" s="3" t="inlineStr">
        <is>
          <t>wifi_diagnostico.ino</t>
        </is>
      </c>
      <c r="M15" s="3" t="inlineStr">
        <is>
          <t>Pendiente</t>
        </is>
      </c>
      <c r="N15" s="3" t="inlineStr"/>
      <c r="O15" s="3" t="inlineStr"/>
      <c r="P15" s="3" t="inlineStr"/>
      <c r="Q15" s="3" t="inlineStr"/>
    </row>
    <row r="16">
      <c r="A16" s="3" t="inlineStr">
        <is>
          <t>IT-NET-02</t>
        </is>
      </c>
      <c r="B16" s="3" t="inlineStr">
        <is>
          <t>N2</t>
        </is>
      </c>
      <c r="C16" s="3" t="inlineStr">
        <is>
          <t>ESP32 ↔ Red WiFi / NTP</t>
        </is>
      </c>
      <c r="D16" s="3" t="inlineStr">
        <is>
          <t>Clave WiFi incorrecta: motivo registrado y sin bloqueo</t>
        </is>
      </c>
      <c r="E16" s="3" t="inlineStr">
        <is>
          <t>RF-02</t>
        </is>
      </c>
      <c r="F16" s="3" t="inlineStr">
        <is>
          <t>Media</t>
        </is>
      </c>
      <c r="G16" s="3" t="inlineStr">
        <is>
          <t>M</t>
        </is>
      </c>
      <c r="H16" s="3" t="inlineStr">
        <is>
          <t>config.h con clave errónea.</t>
        </is>
      </c>
      <c r="I16" s="3" t="inlineStr">
        <is>
          <t>1. Cargar firmware
2. Observar 2 min</t>
        </is>
      </c>
      <c r="J16" s="3" t="inlineStr">
        <is>
          <t>Clave inválida</t>
        </is>
      </c>
      <c r="K16" s="3" t="inlineStr">
        <is>
          <t>Se registra el motivo de desconexión; el muestreo continúa y las muestras se encolan (sin cuelgue ni reinicio).</t>
        </is>
      </c>
      <c r="L16" s="3" t="inlineStr"/>
      <c r="M16" s="3" t="inlineStr">
        <is>
          <t>Pendiente</t>
        </is>
      </c>
      <c r="N16" s="3" t="inlineStr"/>
      <c r="O16" s="3" t="inlineStr"/>
      <c r="P16" s="3" t="inlineStr"/>
      <c r="Q16" s="3" t="inlineStr"/>
    </row>
    <row r="17">
      <c r="A17" s="3" t="inlineStr">
        <is>
          <t>IT-NET-03</t>
        </is>
      </c>
      <c r="B17" s="3" t="inlineStr">
        <is>
          <t>N2</t>
        </is>
      </c>
      <c r="C17" s="3" t="inlineStr">
        <is>
          <t>ESP32 ↔ Red WiFi / NTP</t>
        </is>
      </c>
      <c r="D17" s="3" t="inlineStr">
        <is>
          <t>Caída del router durante la ejecución</t>
        </is>
      </c>
      <c r="E17" s="3" t="inlineStr">
        <is>
          <t>RF-02</t>
        </is>
      </c>
      <c r="F17" s="3" t="inlineStr">
        <is>
          <t>Alta</t>
        </is>
      </c>
      <c r="G17" s="3" t="inlineStr">
        <is>
          <t>M</t>
        </is>
      </c>
      <c r="H17" s="3" t="inlineStr">
        <is>
          <t>ESP32 enviando con normalidad.</t>
        </is>
      </c>
      <c r="I17" s="3" t="inlineStr">
        <is>
          <t>1. Apagar el router 2 min
2. Encenderlo
3. Esperar 3 min</t>
        </is>
      </c>
      <c r="J17" s="3" t="inlineStr">
        <is>
          <t>—</t>
        </is>
      </c>
      <c r="K17" s="3" t="inlineStr">
        <is>
          <t>El ESP32 se reconecta solo; las muestras acumuladas se entregan (sin faltas ni duplicados).</t>
        </is>
      </c>
      <c r="L17" s="3" t="inlineStr"/>
      <c r="M17" s="3" t="inlineStr">
        <is>
          <t>Pendiente</t>
        </is>
      </c>
      <c r="N17" s="3" t="inlineStr"/>
      <c r="O17" s="3" t="inlineStr"/>
      <c r="P17" s="3" t="inlineStr"/>
      <c r="Q17" s="3" t="inlineStr"/>
    </row>
    <row r="18">
      <c r="A18" s="3" t="inlineStr">
        <is>
          <t>IT-NET-04</t>
        </is>
      </c>
      <c r="B18" s="3" t="inlineStr">
        <is>
          <t>N2</t>
        </is>
      </c>
      <c r="C18" s="3" t="inlineStr">
        <is>
          <t>ESP32 ↔ Red WiFi / NTP</t>
        </is>
      </c>
      <c r="D18" s="3" t="inlineStr">
        <is>
          <t>Hora NTP y campo ts_dispositivo</t>
        </is>
      </c>
      <c r="E18" s="3" t="inlineStr">
        <is>
          <t>RNF-04</t>
        </is>
      </c>
      <c r="F18" s="3" t="inlineStr">
        <is>
          <t>Media</t>
        </is>
      </c>
      <c r="G18" s="3" t="inlineStr">
        <is>
          <t>M</t>
        </is>
      </c>
      <c r="H18" s="3" t="inlineStr">
        <is>
          <t>Internet disponible.</t>
        </is>
      </c>
      <c r="I18" s="3" t="inlineStr">
        <is>
          <t>1. Arrancar y revisar '[MUESTRA] … hora=NTP'
2. Consultar la API y ver ts_dispositivo
3. Repetir con Internet bloqueado en el router</t>
        </is>
      </c>
      <c r="J18" s="3" t="inlineStr">
        <is>
          <t>—</t>
        </is>
      </c>
      <c r="K18" s="3" t="inlineStr">
        <is>
          <t>Con NTP: ts_dispositivo en UTC correcto. Sin NTP: ts_dispositivo = null y la lectura se guarda igual.</t>
        </is>
      </c>
      <c r="L18" s="3" t="inlineStr"/>
      <c r="M18" s="3" t="inlineStr">
        <is>
          <t>Pendiente</t>
        </is>
      </c>
      <c r="N18" s="3" t="inlineStr"/>
      <c r="O18" s="3" t="inlineStr"/>
      <c r="P18" s="3" t="inlineStr"/>
      <c r="Q18" s="3" t="inlineStr"/>
    </row>
    <row r="19">
      <c r="A19" s="3" t="inlineStr">
        <is>
          <t>IT-NET-05</t>
        </is>
      </c>
      <c r="B19" s="3" t="inlineStr">
        <is>
          <t>N2</t>
        </is>
      </c>
      <c r="C19" s="3" t="inlineStr">
        <is>
          <t>ESP32 ↔ Red WiFi / NTP</t>
        </is>
      </c>
      <c r="D19" s="3" t="inlineStr">
        <is>
          <t>Entrega según intensidad de señal</t>
        </is>
      </c>
      <c r="E19" s="3" t="inlineStr">
        <is>
          <t>RNF-02</t>
        </is>
      </c>
      <c r="F19" s="3" t="inlineStr">
        <is>
          <t>Baja</t>
        </is>
      </c>
      <c r="G19" s="3" t="inlineStr">
        <is>
          <t>M</t>
        </is>
      </c>
      <c r="H19" s="3" t="inlineStr">
        <is>
          <t>Dispositivo alimentado por batería/USB estable.</t>
        </is>
      </c>
      <c r="I19" s="3" t="inlineStr">
        <is>
          <t>1. Medir 10 min a tres distancias (RSSI ≈ -50, -70, -80 dBm)
2. Comparar enviadas vs guardadas</t>
        </is>
      </c>
      <c r="J19" s="3" t="inlineStr">
        <is>
          <t>RSSI</t>
        </is>
      </c>
      <c r="K19" s="3" t="inlineStr">
        <is>
          <t>Entrega ≥ 99 % con RSSI ≥ -80 dBm.</t>
        </is>
      </c>
      <c r="L19" s="3" t="inlineStr"/>
      <c r="M19" s="3" t="inlineStr">
        <is>
          <t>Pendiente</t>
        </is>
      </c>
      <c r="N19" s="3" t="inlineStr"/>
      <c r="O19" s="3" t="inlineStr"/>
      <c r="P19" s="3" t="inlineStr"/>
      <c r="Q19" s="3" t="inlineStr"/>
    </row>
    <row r="20">
      <c r="A20" s="3" t="inlineStr">
        <is>
          <t>IT-API-01</t>
        </is>
      </c>
      <c r="B20" s="3" t="inlineStr">
        <is>
          <t>N2</t>
        </is>
      </c>
      <c r="C20" s="3" t="inlineStr">
        <is>
          <t>ESP32 ↔ API (contrato HTTP)</t>
        </is>
      </c>
      <c r="D20" s="3" t="inlineStr">
        <is>
          <t>Crear lectura válida → 201</t>
        </is>
      </c>
      <c r="E20" s="3" t="inlineStr">
        <is>
          <t>RF-04</t>
        </is>
      </c>
      <c r="F20" s="3" t="inlineStr">
        <is>
          <t>Alta</t>
        </is>
      </c>
      <c r="G20" s="3" t="inlineStr">
        <is>
          <t>A</t>
        </is>
      </c>
      <c r="H20" s="3" t="inlineStr">
        <is>
          <t>API con API key válida.</t>
        </is>
      </c>
      <c r="I20" s="3" t="inlineStr">
        <is>
          <t>1. POST /api/v1/lecturas con payload válido</t>
        </is>
      </c>
      <c r="J20" s="3" t="inlineStr">
        <is>
          <t>payload estándar</t>
        </is>
      </c>
      <c r="K20" s="3" t="inlineStr">
        <is>
          <t>201 y {duplicado:false}.</t>
        </is>
      </c>
      <c r="L20" s="3" t="inlineStr">
        <is>
          <t>tests/test_api_contrato.py::test_it_api_01</t>
        </is>
      </c>
      <c r="M20" s="3" t="inlineStr">
        <is>
          <t>Pendiente</t>
        </is>
      </c>
      <c r="N20" s="3" t="inlineStr"/>
      <c r="O20" s="3" t="inlineStr"/>
      <c r="P20" s="3" t="inlineStr"/>
      <c r="Q20" s="3" t="inlineStr"/>
    </row>
    <row r="21">
      <c r="A21" s="3" t="inlineStr">
        <is>
          <t>IT-API-02</t>
        </is>
      </c>
      <c r="B21" s="3" t="inlineStr">
        <is>
          <t>N2</t>
        </is>
      </c>
      <c r="C21" s="3" t="inlineStr">
        <is>
          <t>ESP32 ↔ API (contrato HTTP)</t>
        </is>
      </c>
      <c r="D21" s="3" t="inlineStr">
        <is>
          <t>Reintento con el mismo seq → 200 idempotente</t>
        </is>
      </c>
      <c r="E21" s="3" t="inlineStr">
        <is>
          <t>RF-05</t>
        </is>
      </c>
      <c r="F21" s="3" t="inlineStr">
        <is>
          <t>Alta</t>
        </is>
      </c>
      <c r="G21" s="3" t="inlineStr">
        <is>
          <t>A</t>
        </is>
      </c>
      <c r="H21" s="3" t="inlineStr">
        <is>
          <t>Lectura seq=7 ya guardada.</t>
        </is>
      </c>
      <c r="I21" s="3" t="inlineStr">
        <is>
          <t>1. Reenviar la misma lectura</t>
        </is>
      </c>
      <c r="J21" s="3" t="inlineStr">
        <is>
          <t>seq=7</t>
        </is>
      </c>
      <c r="K21" s="3" t="inlineStr">
        <is>
          <t>200 con {duplicado:true}; sigue habiendo 1 sola fila.</t>
        </is>
      </c>
      <c r="L21" s="3" t="inlineStr">
        <is>
          <t>tests/test_api_contrato.py::test_it_api_02</t>
        </is>
      </c>
      <c r="M21" s="3" t="inlineStr">
        <is>
          <t>Pendiente</t>
        </is>
      </c>
      <c r="N21" s="3" t="inlineStr"/>
      <c r="O21" s="3" t="inlineStr"/>
      <c r="P21" s="3" t="inlineStr"/>
      <c r="Q21" s="3" t="inlineStr"/>
    </row>
    <row r="22">
      <c r="A22" s="3" t="inlineStr">
        <is>
          <t>IT-API-03</t>
        </is>
      </c>
      <c r="B22" s="3" t="inlineStr">
        <is>
          <t>N2</t>
        </is>
      </c>
      <c r="C22" s="3" t="inlineStr">
        <is>
          <t>ESP32 ↔ API (contrato HTTP)</t>
        </is>
      </c>
      <c r="D22" s="3" t="inlineStr">
        <is>
          <t>Sin API key → 401</t>
        </is>
      </c>
      <c r="E22" s="3" t="inlineStr">
        <is>
          <t>RNF-03</t>
        </is>
      </c>
      <c r="F22" s="3" t="inlineStr">
        <is>
          <t>Alta</t>
        </is>
      </c>
      <c r="G22" s="3" t="inlineStr">
        <is>
          <t>A</t>
        </is>
      </c>
      <c r="H22" s="3" t="inlineStr">
        <is>
          <t>—</t>
        </is>
      </c>
      <c r="I22" s="3" t="inlineStr">
        <is>
          <t>1. POST sin cabecera X-API-Key</t>
        </is>
      </c>
      <c r="J22" s="3" t="inlineStr">
        <is>
          <t>—</t>
        </is>
      </c>
      <c r="K22" s="3" t="inlineStr">
        <is>
          <t>401 y no se guarda nada.</t>
        </is>
      </c>
      <c r="L22" s="3" t="inlineStr">
        <is>
          <t>tests/test_api_contrato.py::test_it_api_03</t>
        </is>
      </c>
      <c r="M22" s="3" t="inlineStr">
        <is>
          <t>Pendiente</t>
        </is>
      </c>
      <c r="N22" s="3" t="inlineStr"/>
      <c r="O22" s="3" t="inlineStr"/>
      <c r="P22" s="3" t="inlineStr"/>
      <c r="Q22" s="3" t="inlineStr"/>
    </row>
    <row r="23">
      <c r="A23" s="3" t="inlineStr">
        <is>
          <t>IT-API-04</t>
        </is>
      </c>
      <c r="B23" s="3" t="inlineStr">
        <is>
          <t>N2</t>
        </is>
      </c>
      <c r="C23" s="3" t="inlineStr">
        <is>
          <t>ESP32 ↔ API (contrato HTTP)</t>
        </is>
      </c>
      <c r="D23" s="3" t="inlineStr">
        <is>
          <t>API key incorrecta → 401</t>
        </is>
      </c>
      <c r="E23" s="3" t="inlineStr">
        <is>
          <t>RNF-03</t>
        </is>
      </c>
      <c r="F23" s="3" t="inlineStr">
        <is>
          <t>Alta</t>
        </is>
      </c>
      <c r="G23" s="3" t="inlineStr">
        <is>
          <t>A</t>
        </is>
      </c>
      <c r="H23" s="3" t="inlineStr">
        <is>
          <t>—</t>
        </is>
      </c>
      <c r="I23" s="3" t="inlineStr">
        <is>
          <t>1. POST con X-API-Key errónea</t>
        </is>
      </c>
      <c r="J23" s="3" t="inlineStr">
        <is>
          <t>—</t>
        </is>
      </c>
      <c r="K23" s="3" t="inlineStr">
        <is>
          <t>401.</t>
        </is>
      </c>
      <c r="L23" s="3" t="inlineStr">
        <is>
          <t>tests/test_api_contrato.py::test_it_api_04</t>
        </is>
      </c>
      <c r="M23" s="3" t="inlineStr">
        <is>
          <t>Pendiente</t>
        </is>
      </c>
      <c r="N23" s="3" t="inlineStr"/>
      <c r="O23" s="3" t="inlineStr"/>
      <c r="P23" s="3" t="inlineStr"/>
      <c r="Q23" s="3" t="inlineStr"/>
    </row>
    <row r="24">
      <c r="A24" s="3" t="inlineStr">
        <is>
          <t>IT-API-05</t>
        </is>
      </c>
      <c r="B24" s="3" t="inlineStr">
        <is>
          <t>N2</t>
        </is>
      </c>
      <c r="C24" s="3" t="inlineStr">
        <is>
          <t>ESP32 ↔ API (contrato HTTP)</t>
        </is>
      </c>
      <c r="D24" s="3" t="inlineStr">
        <is>
          <t>Lectura sin mediciones → 422</t>
        </is>
      </c>
      <c r="E24" s="3" t="inlineStr">
        <is>
          <t>RF-04</t>
        </is>
      </c>
      <c r="F24" s="3" t="inlineStr">
        <is>
          <t>Media</t>
        </is>
      </c>
      <c r="G24" s="3" t="inlineStr">
        <is>
          <t>A</t>
        </is>
      </c>
      <c r="H24" s="3" t="inlineStr">
        <is>
          <t>—</t>
        </is>
      </c>
      <c r="I24" s="3" t="inlineStr">
        <is>
          <t>1. POST con mediciones=[]</t>
        </is>
      </c>
      <c r="J24" s="3" t="inlineStr">
        <is>
          <t>—</t>
        </is>
      </c>
      <c r="K24" s="3" t="inlineStr">
        <is>
          <t>422.</t>
        </is>
      </c>
      <c r="L24" s="3" t="inlineStr">
        <is>
          <t>tests/test_api_contrato.py::test_it_api_05</t>
        </is>
      </c>
      <c r="M24" s="3" t="inlineStr">
        <is>
          <t>Pendiente</t>
        </is>
      </c>
      <c r="N24" s="3" t="inlineStr"/>
      <c r="O24" s="3" t="inlineStr"/>
      <c r="P24" s="3" t="inlineStr"/>
      <c r="Q24" s="3" t="inlineStr"/>
    </row>
    <row r="25">
      <c r="A25" s="3" t="inlineStr">
        <is>
          <t>IT-API-06</t>
        </is>
      </c>
      <c r="B25" s="3" t="inlineStr">
        <is>
          <t>N2</t>
        </is>
      </c>
      <c r="C25" s="3" t="inlineStr">
        <is>
          <t>ESP32 ↔ API (contrato HTTP)</t>
        </is>
      </c>
      <c r="D25" s="3" t="inlineStr">
        <is>
          <t>device_id con caracteres inválidos → 422</t>
        </is>
      </c>
      <c r="E25" s="3" t="inlineStr">
        <is>
          <t>RNF-03</t>
        </is>
      </c>
      <c r="F25" s="3" t="inlineStr">
        <is>
          <t>Media</t>
        </is>
      </c>
      <c r="G25" s="3" t="inlineStr">
        <is>
          <t>A</t>
        </is>
      </c>
      <c r="H25" s="3" t="inlineStr">
        <is>
          <t>—</t>
        </is>
      </c>
      <c r="I25" s="3" t="inlineStr">
        <is>
          <t>1. POST con device_id='esp 01;'</t>
        </is>
      </c>
      <c r="J25" s="3" t="inlineStr">
        <is>
          <t>—</t>
        </is>
      </c>
      <c r="K25" s="3" t="inlineStr">
        <is>
          <t>422.</t>
        </is>
      </c>
      <c r="L25" s="3" t="inlineStr">
        <is>
          <t>tests/test_api_contrato.py::test_it_api_06</t>
        </is>
      </c>
      <c r="M25" s="3" t="inlineStr">
        <is>
          <t>Pendiente</t>
        </is>
      </c>
      <c r="N25" s="3" t="inlineStr"/>
      <c r="O25" s="3" t="inlineStr"/>
      <c r="P25" s="3" t="inlineStr"/>
      <c r="Q25" s="3" t="inlineStr"/>
    </row>
    <row r="26">
      <c r="A26" s="3" t="inlineStr">
        <is>
          <t>IT-API-07</t>
        </is>
      </c>
      <c r="B26" s="3" t="inlineStr">
        <is>
          <t>N2</t>
        </is>
      </c>
      <c r="C26" s="3" t="inlineStr">
        <is>
          <t>ESP32 ↔ API (contrato HTTP)</t>
        </is>
      </c>
      <c r="D26" s="3" t="inlineStr">
        <is>
          <t>Valor NaN → 422 (no 500)</t>
        </is>
      </c>
      <c r="E26" s="3" t="inlineStr">
        <is>
          <t>RF-04</t>
        </is>
      </c>
      <c r="F26" s="3" t="inlineStr">
        <is>
          <t>Alta</t>
        </is>
      </c>
      <c r="G26" s="3" t="inlineStr">
        <is>
          <t>A</t>
        </is>
      </c>
      <c r="H26" s="3" t="inlineStr">
        <is>
          <t>—</t>
        </is>
      </c>
      <c r="I26" s="3" t="inlineStr">
        <is>
          <t>1. POST con "valor": NaN (JSON no estándar)</t>
        </is>
      </c>
      <c r="J26" s="3" t="inlineStr">
        <is>
          <t>—</t>
        </is>
      </c>
      <c r="K26" s="3" t="inlineStr">
        <is>
          <t>422 con detalle sin el valor recibido; la API no falla con 500.</t>
        </is>
      </c>
      <c r="L26" s="3" t="inlineStr">
        <is>
          <t>tests/test_api_contrato.py::test_it_api_07</t>
        </is>
      </c>
      <c r="M26" s="3" t="inlineStr">
        <is>
          <t>Pendiente</t>
        </is>
      </c>
      <c r="N26" s="3" t="inlineStr"/>
      <c r="O26" s="3" t="inlineStr"/>
      <c r="P26" s="3" t="inlineStr"/>
      <c r="Q26" s="3" t="inlineStr"/>
    </row>
    <row r="27">
      <c r="A27" s="3" t="inlineStr">
        <is>
          <t>IT-API-08</t>
        </is>
      </c>
      <c r="B27" s="3" t="inlineStr">
        <is>
          <t>N2</t>
        </is>
      </c>
      <c r="C27" s="3" t="inlineStr">
        <is>
          <t>ESP32 ↔ API (contrato HTTP)</t>
        </is>
      </c>
      <c r="D27" s="3" t="inlineStr">
        <is>
          <t>JSON malformado → 422</t>
        </is>
      </c>
      <c r="E27" s="3" t="inlineStr">
        <is>
          <t>RF-04</t>
        </is>
      </c>
      <c r="F27" s="3" t="inlineStr">
        <is>
          <t>Media</t>
        </is>
      </c>
      <c r="G27" s="3" t="inlineStr">
        <is>
          <t>A</t>
        </is>
      </c>
      <c r="H27" s="3" t="inlineStr">
        <is>
          <t>—</t>
        </is>
      </c>
      <c r="I27" s="3" t="inlineStr">
        <is>
          <t>1. POST con cuerpo '{no es json'</t>
        </is>
      </c>
      <c r="J27" s="3" t="inlineStr">
        <is>
          <t>—</t>
        </is>
      </c>
      <c r="K27" s="3" t="inlineStr">
        <is>
          <t>422.</t>
        </is>
      </c>
      <c r="L27" s="3" t="inlineStr">
        <is>
          <t>tests/test_api_contrato.py::test_it_api_08</t>
        </is>
      </c>
      <c r="M27" s="3" t="inlineStr">
        <is>
          <t>Pendiente</t>
        </is>
      </c>
      <c r="N27" s="3" t="inlineStr"/>
      <c r="O27" s="3" t="inlineStr"/>
      <c r="P27" s="3" t="inlineStr"/>
      <c r="Q27" s="3" t="inlineStr"/>
    </row>
    <row r="28">
      <c r="A28" s="3" t="inlineStr">
        <is>
          <t>IT-API-09</t>
        </is>
      </c>
      <c r="B28" s="3" t="inlineStr">
        <is>
          <t>N2</t>
        </is>
      </c>
      <c r="C28" s="3" t="inlineStr">
        <is>
          <t>ESP32 ↔ API (contrato HTTP)</t>
        </is>
      </c>
      <c r="D28" s="3" t="inlineStr">
        <is>
          <t>Payload demasiado grande → 413</t>
        </is>
      </c>
      <c r="E28" s="3" t="inlineStr">
        <is>
          <t>RNF-03</t>
        </is>
      </c>
      <c r="F28" s="3" t="inlineStr">
        <is>
          <t>Media</t>
        </is>
      </c>
      <c r="G28" s="3" t="inlineStr">
        <is>
          <t>A</t>
        </is>
      </c>
      <c r="H28" s="3" t="inlineStr">
        <is>
          <t>MAX_BODY_BYTES configurado.</t>
        </is>
      </c>
      <c r="I28" s="3" t="inlineStr">
        <is>
          <t>1. POST con cuerpo mayor al límite</t>
        </is>
      </c>
      <c r="J28" s="3" t="inlineStr">
        <is>
          <t>≥ 5 KB en pruebas</t>
        </is>
      </c>
      <c r="K28" s="3" t="inlineStr">
        <is>
          <t>413.</t>
        </is>
      </c>
      <c r="L28" s="3" t="inlineStr">
        <is>
          <t>tests/test_api_contrato.py::test_it_api_09</t>
        </is>
      </c>
      <c r="M28" s="3" t="inlineStr">
        <is>
          <t>Pendiente</t>
        </is>
      </c>
      <c r="N28" s="3" t="inlineStr"/>
      <c r="O28" s="3" t="inlineStr"/>
      <c r="P28" s="3" t="inlineStr"/>
      <c r="Q28" s="3" t="inlineStr"/>
    </row>
    <row r="29">
      <c r="A29" s="3" t="inlineStr">
        <is>
          <t>IT-API-10</t>
        </is>
      </c>
      <c r="B29" s="3" t="inlineStr">
        <is>
          <t>N2</t>
        </is>
      </c>
      <c r="C29" s="3" t="inlineStr">
        <is>
          <t>ESP32 ↔ API (contrato HTTP)</t>
        </is>
      </c>
      <c r="D29" s="3" t="inlineStr">
        <is>
          <t>Campo desconocido → 422</t>
        </is>
      </c>
      <c r="E29" s="3" t="inlineStr">
        <is>
          <t>RF-04</t>
        </is>
      </c>
      <c r="F29" s="3" t="inlineStr">
        <is>
          <t>Baja</t>
        </is>
      </c>
      <c r="G29" s="3" t="inlineStr">
        <is>
          <t>A</t>
        </is>
      </c>
      <c r="H29" s="3" t="inlineStr">
        <is>
          <t>—</t>
        </is>
      </c>
      <c r="I29" s="3" t="inlineStr">
        <is>
          <t>1. POST con un campo extra</t>
        </is>
      </c>
      <c r="J29" s="3" t="inlineStr">
        <is>
          <t>—</t>
        </is>
      </c>
      <c r="K29" s="3" t="inlineStr">
        <is>
          <t>422 (esquema estricto).</t>
        </is>
      </c>
      <c r="L29" s="3" t="inlineStr">
        <is>
          <t>tests/test_api_contrato.py::test_it_api_10</t>
        </is>
      </c>
      <c r="M29" s="3" t="inlineStr">
        <is>
          <t>Pendiente</t>
        </is>
      </c>
      <c r="N29" s="3" t="inlineStr"/>
      <c r="O29" s="3" t="inlineStr"/>
      <c r="P29" s="3" t="inlineStr"/>
      <c r="Q29" s="3" t="inlineStr"/>
    </row>
    <row r="30">
      <c r="A30" s="3" t="inlineStr">
        <is>
          <t>IT-API-11</t>
        </is>
      </c>
      <c r="B30" s="3" t="inlineStr">
        <is>
          <t>N2</t>
        </is>
      </c>
      <c r="C30" s="3" t="inlineStr">
        <is>
          <t>ESP32 ↔ API (contrato HTTP)</t>
        </is>
      </c>
      <c r="D30" s="3" t="inlineStr">
        <is>
          <t>Sin ts_dispositivo se acepta</t>
        </is>
      </c>
      <c r="E30" s="3" t="inlineStr">
        <is>
          <t>RNF-04</t>
        </is>
      </c>
      <c r="F30" s="3" t="inlineStr">
        <is>
          <t>Media</t>
        </is>
      </c>
      <c r="G30" s="3" t="inlineStr">
        <is>
          <t>A</t>
        </is>
      </c>
      <c r="H30" s="3" t="inlineStr">
        <is>
          <t>—</t>
        </is>
      </c>
      <c r="I30" s="3" t="inlineStr">
        <is>
          <t>1. POST sin ts_dispositivo
2. GET de la lectura</t>
        </is>
      </c>
      <c r="J30" s="3" t="inlineStr">
        <is>
          <t>—</t>
        </is>
      </c>
      <c r="K30" s="3" t="inlineStr">
        <is>
          <t>201; ts_dispositivo = null.</t>
        </is>
      </c>
      <c r="L30" s="3" t="inlineStr">
        <is>
          <t>tests/test_api_contrato.py::test_it_api_11</t>
        </is>
      </c>
      <c r="M30" s="3" t="inlineStr">
        <is>
          <t>Pendiente</t>
        </is>
      </c>
      <c r="N30" s="3" t="inlineStr"/>
      <c r="O30" s="3" t="inlineStr"/>
      <c r="P30" s="3" t="inlineStr"/>
      <c r="Q30" s="3" t="inlineStr"/>
    </row>
    <row r="31">
      <c r="A31" s="3" t="inlineStr">
        <is>
          <t>IT-API-12</t>
        </is>
      </c>
      <c r="B31" s="3" t="inlineStr">
        <is>
          <t>N2</t>
        </is>
      </c>
      <c r="C31" s="3" t="inlineStr">
        <is>
          <t>ESP32 ↔ API (contrato HTTP)</t>
        </is>
      </c>
      <c r="D31" s="3" t="inlineStr">
        <is>
          <t>Lote con nuevas y duplicadas</t>
        </is>
      </c>
      <c r="E31" s="3" t="inlineStr">
        <is>
          <t>RF-05</t>
        </is>
      </c>
      <c r="F31" s="3" t="inlineStr">
        <is>
          <t>Alta</t>
        </is>
      </c>
      <c r="G31" s="3" t="inlineStr">
        <is>
          <t>A</t>
        </is>
      </c>
      <c r="H31" s="3" t="inlineStr">
        <is>
          <t>seq=1 ya guardado.</t>
        </is>
      </c>
      <c r="I31" s="3" t="inlineStr">
        <is>
          <t>1. POST /batch con seq 1, 2, 3</t>
        </is>
      </c>
      <c r="J31" s="3" t="inlineStr">
        <is>
          <t>3 lecturas</t>
        </is>
      </c>
      <c r="K31" s="3" t="inlineStr">
        <is>
          <t>{insertadas:2, duplicadas:1}.</t>
        </is>
      </c>
      <c r="L31" s="3" t="inlineStr">
        <is>
          <t>tests/test_api_contrato.py::test_it_api_12</t>
        </is>
      </c>
      <c r="M31" s="3" t="inlineStr">
        <is>
          <t>Pendiente</t>
        </is>
      </c>
      <c r="N31" s="3" t="inlineStr"/>
      <c r="O31" s="3" t="inlineStr"/>
      <c r="P31" s="3" t="inlineStr"/>
      <c r="Q31" s="3" t="inlineStr"/>
    </row>
    <row r="32">
      <c r="A32" s="3" t="inlineStr">
        <is>
          <t>IT-API-13</t>
        </is>
      </c>
      <c r="B32" s="3" t="inlineStr">
        <is>
          <t>N2</t>
        </is>
      </c>
      <c r="C32" s="3" t="inlineStr">
        <is>
          <t>ESP32 ↔ API (contrato HTTP)</t>
        </is>
      </c>
      <c r="D32" s="3" t="inlineStr">
        <is>
          <t>Lote de más de 100 → rechazado</t>
        </is>
      </c>
      <c r="E32" s="3" t="inlineStr">
        <is>
          <t>RNF-03</t>
        </is>
      </c>
      <c r="F32" s="3" t="inlineStr">
        <is>
          <t>Baja</t>
        </is>
      </c>
      <c r="G32" s="3" t="inlineStr">
        <is>
          <t>A</t>
        </is>
      </c>
      <c r="H32" s="3" t="inlineStr">
        <is>
          <t>—</t>
        </is>
      </c>
      <c r="I32" s="3" t="inlineStr">
        <is>
          <t>1. POST /batch con 101 lecturas</t>
        </is>
      </c>
      <c r="J32" s="3" t="inlineStr">
        <is>
          <t>101 lecturas</t>
        </is>
      </c>
      <c r="K32" s="3" t="inlineStr">
        <is>
          <t>413 o 422.</t>
        </is>
      </c>
      <c r="L32" s="3" t="inlineStr">
        <is>
          <t>tests/test_api_contrato.py::test_it_api_13</t>
        </is>
      </c>
      <c r="M32" s="3" t="inlineStr">
        <is>
          <t>Pendiente</t>
        </is>
      </c>
      <c r="N32" s="3" t="inlineStr"/>
      <c r="O32" s="3" t="inlineStr"/>
      <c r="P32" s="3" t="inlineStr"/>
      <c r="Q32" s="3" t="inlineStr"/>
    </row>
    <row r="33">
      <c r="A33" s="3" t="inlineStr">
        <is>
          <t>IT-API-14</t>
        </is>
      </c>
      <c r="B33" s="3" t="inlineStr">
        <is>
          <t>N2</t>
        </is>
      </c>
      <c r="C33" s="3" t="inlineStr">
        <is>
          <t>ESP32 ↔ API (contrato HTTP)</t>
        </is>
      </c>
      <c r="D33" s="3" t="inlineStr">
        <is>
          <t>GET filtra por dispositivo y limit</t>
        </is>
      </c>
      <c r="E33" s="3" t="inlineStr">
        <is>
          <t>RF-06</t>
        </is>
      </c>
      <c r="F33" s="3" t="inlineStr">
        <is>
          <t>Media</t>
        </is>
      </c>
      <c r="G33" s="3" t="inlineStr">
        <is>
          <t>A</t>
        </is>
      </c>
      <c r="H33" s="3" t="inlineStr">
        <is>
          <t>Lecturas de 2 dispositivos.</t>
        </is>
      </c>
      <c r="I33" s="3" t="inlineStr">
        <is>
          <t>1. GET ?device_id=…
2. GET ?limit=2</t>
        </is>
      </c>
      <c r="J33" s="3" t="inlineStr">
        <is>
          <t>—</t>
        </is>
      </c>
      <c r="K33" s="3" t="inlineStr">
        <is>
          <t>Cantidades exactas por filtro.</t>
        </is>
      </c>
      <c r="L33" s="3" t="inlineStr">
        <is>
          <t>tests/test_api_contrato.py::test_it_api_14</t>
        </is>
      </c>
      <c r="M33" s="3" t="inlineStr">
        <is>
          <t>Pendiente</t>
        </is>
      </c>
      <c r="N33" s="3" t="inlineStr"/>
      <c r="O33" s="3" t="inlineStr"/>
      <c r="P33" s="3" t="inlineStr"/>
      <c r="Q33" s="3" t="inlineStr"/>
    </row>
    <row r="34">
      <c r="A34" s="3" t="inlineStr">
        <is>
          <t>IT-API-15</t>
        </is>
      </c>
      <c r="B34" s="3" t="inlineStr">
        <is>
          <t>N2</t>
        </is>
      </c>
      <c r="C34" s="3" t="inlineStr">
        <is>
          <t>ESP32 ↔ API (contrato HTTP)</t>
        </is>
      </c>
      <c r="D34" s="3" t="inlineStr">
        <is>
          <t>GET devuelve mediciones completas</t>
        </is>
      </c>
      <c r="E34" s="3" t="inlineStr">
        <is>
          <t>RF-06</t>
        </is>
      </c>
      <c r="F34" s="3" t="inlineStr">
        <is>
          <t>Media</t>
        </is>
      </c>
      <c r="G34" s="3" t="inlineStr">
        <is>
          <t>A</t>
        </is>
      </c>
      <c r="H34" s="3" t="inlineStr">
        <is>
          <t>Lectura guardada.</t>
        </is>
      </c>
      <c r="I34" s="3" t="inlineStr">
        <is>
          <t>1. GET ?device_id=…</t>
        </is>
      </c>
      <c r="J34" s="3" t="inlineStr">
        <is>
          <t>—</t>
        </is>
      </c>
      <c r="K34" s="3" t="inlineStr">
        <is>
          <t>Magnitudes, valores, rssi y seq idénticos a lo enviado.</t>
        </is>
      </c>
      <c r="L34" s="3" t="inlineStr">
        <is>
          <t>tests/test_api_contrato.py::test_it_api_15</t>
        </is>
      </c>
      <c r="M34" s="3" t="inlineStr">
        <is>
          <t>Pendiente</t>
        </is>
      </c>
      <c r="N34" s="3" t="inlineStr"/>
      <c r="O34" s="3" t="inlineStr"/>
      <c r="P34" s="3" t="inlineStr"/>
      <c r="Q34" s="3" t="inlineStr"/>
    </row>
    <row r="35">
      <c r="A35" s="3" t="inlineStr">
        <is>
          <t>IT-API-16</t>
        </is>
      </c>
      <c r="B35" s="3" t="inlineStr">
        <is>
          <t>N2</t>
        </is>
      </c>
      <c r="C35" s="3" t="inlineStr">
        <is>
          <t>ESP32 ↔ API (contrato HTTP)</t>
        </is>
      </c>
      <c r="D35" s="3" t="inlineStr">
        <is>
          <t>GET requiere API key</t>
        </is>
      </c>
      <c r="E35" s="3" t="inlineStr">
        <is>
          <t>RNF-03</t>
        </is>
      </c>
      <c r="F35" s="3" t="inlineStr">
        <is>
          <t>Alta</t>
        </is>
      </c>
      <c r="G35" s="3" t="inlineStr">
        <is>
          <t>A</t>
        </is>
      </c>
      <c r="H35" s="3" t="inlineStr">
        <is>
          <t>—</t>
        </is>
      </c>
      <c r="I35" s="3" t="inlineStr">
        <is>
          <t>1. GET sin X-API-Key</t>
        </is>
      </c>
      <c r="J35" s="3" t="inlineStr">
        <is>
          <t>—</t>
        </is>
      </c>
      <c r="K35" s="3" t="inlineStr">
        <is>
          <t>401.</t>
        </is>
      </c>
      <c r="L35" s="3" t="inlineStr">
        <is>
          <t>tests/test_api_contrato.py::test_it_api_16</t>
        </is>
      </c>
      <c r="M35" s="3" t="inlineStr">
        <is>
          <t>Pendiente</t>
        </is>
      </c>
      <c r="N35" s="3" t="inlineStr"/>
      <c r="O35" s="3" t="inlineStr"/>
      <c r="P35" s="3" t="inlineStr"/>
      <c r="Q35" s="3" t="inlineStr"/>
    </row>
    <row r="36">
      <c r="A36" s="3" t="inlineStr">
        <is>
          <t>IT-API-17</t>
        </is>
      </c>
      <c r="B36" s="3" t="inlineStr">
        <is>
          <t>N2</t>
        </is>
      </c>
      <c r="C36" s="3" t="inlineStr">
        <is>
          <t>ESP32 ↔ API (contrato HTTP)</t>
        </is>
      </c>
      <c r="D36" s="3" t="inlineStr">
        <is>
          <t>/health sin clave y refleja la BD</t>
        </is>
      </c>
      <c r="E36" s="3" t="inlineStr">
        <is>
          <t>RNF-02</t>
        </is>
      </c>
      <c r="F36" s="3" t="inlineStr">
        <is>
          <t>Media</t>
        </is>
      </c>
      <c r="G36" s="3" t="inlineStr">
        <is>
          <t>A</t>
        </is>
      </c>
      <c r="H36" s="3" t="inlineStr">
        <is>
          <t>—</t>
        </is>
      </c>
      <c r="I36" s="3" t="inlineStr">
        <is>
          <t>1. GET /health</t>
        </is>
      </c>
      <c r="J36" s="3" t="inlineStr">
        <is>
          <t>—</t>
        </is>
      </c>
      <c r="K36" s="3" t="inlineStr">
        <is>
          <t>200 {status:ok, db:ok}.</t>
        </is>
      </c>
      <c r="L36" s="3" t="inlineStr">
        <is>
          <t>tests/test_api_contrato.py::test_it_api_17</t>
        </is>
      </c>
      <c r="M36" s="3" t="inlineStr">
        <is>
          <t>Pendiente</t>
        </is>
      </c>
      <c r="N36" s="3" t="inlineStr"/>
      <c r="O36" s="3" t="inlineStr"/>
      <c r="P36" s="3" t="inlineStr"/>
      <c r="Q36" s="3" t="inlineStr"/>
    </row>
    <row r="37">
      <c r="A37" s="3" t="inlineStr">
        <is>
          <t>IT-API-18</t>
        </is>
      </c>
      <c r="B37" s="3" t="inlineStr">
        <is>
          <t>N2</t>
        </is>
      </c>
      <c r="C37" s="3" t="inlineStr">
        <is>
          <t>ESP32 ↔ API (contrato HTTP)</t>
        </is>
      </c>
      <c r="D37" s="3" t="inlineStr">
        <is>
          <t>ESP32 real: primer envío correcto</t>
        </is>
      </c>
      <c r="E37" s="3" t="inlineStr">
        <is>
          <t>RF-03</t>
        </is>
      </c>
      <c r="F37" s="3" t="inlineStr">
        <is>
          <t>Alta</t>
        </is>
      </c>
      <c r="G37" s="3" t="inlineStr">
        <is>
          <t>M</t>
        </is>
      </c>
      <c r="H37" s="3" t="inlineStr">
        <is>
          <t>API accesible; config.h con API_HOST y API_KEY correctos.</t>
        </is>
      </c>
      <c r="I37" s="3" t="inlineStr">
        <is>
          <t>1. Encender el ESP32
2. Esperar la primera muestra
3. Ver el monitor serie</t>
        </is>
      </c>
      <c r="J37" s="3" t="inlineStr">
        <is>
          <t>—</t>
        </is>
      </c>
      <c r="K37" s="3" t="inlineStr">
        <is>
          <t>Se imprime '[API] 201 OK' y la lectura aparece en GET /api/v1/lecturas.</t>
        </is>
      </c>
      <c r="L37" s="3" t="inlineStr"/>
      <c r="M37" s="3" t="inlineStr">
        <is>
          <t>Pendiente</t>
        </is>
      </c>
      <c r="N37" s="3" t="inlineStr"/>
      <c r="O37" s="3" t="inlineStr"/>
      <c r="P37" s="3" t="inlineStr"/>
      <c r="Q37" s="3" t="inlineStr"/>
    </row>
    <row r="38">
      <c r="A38" s="3" t="inlineStr">
        <is>
          <t>IT-API-19</t>
        </is>
      </c>
      <c r="B38" s="3" t="inlineStr">
        <is>
          <t>N2</t>
        </is>
      </c>
      <c r="C38" s="3" t="inlineStr">
        <is>
          <t>ESP32 ↔ API (contrato HTTP)</t>
        </is>
      </c>
      <c r="D38" s="3" t="inlineStr">
        <is>
          <t>ESP32 con API key errónea: 401, backoff y sin pérdida</t>
        </is>
      </c>
      <c r="E38" s="3" t="inlineStr">
        <is>
          <t>RF-05</t>
        </is>
      </c>
      <c r="F38" s="3" t="inlineStr">
        <is>
          <t>Media</t>
        </is>
      </c>
      <c r="G38" s="3" t="inlineStr">
        <is>
          <t>M</t>
        </is>
      </c>
      <c r="H38" s="3" t="inlineStr">
        <is>
          <t>config.h con API_KEY incorrecta.</t>
        </is>
      </c>
      <c r="I38" s="3" t="inlineStr">
        <is>
          <t>1. Encender 3 min
2. Corregir API_KEY y volver a cargar</t>
        </is>
      </c>
      <c r="J38" s="3" t="inlineStr">
        <is>
          <t>—</t>
        </is>
      </c>
      <c r="K38" s="3" t="inlineStr">
        <is>
          <t>Se registra 'fallo 401' con espera creciente (2, 4, 8… hasta 60 s); las muestras se conservan en la cola mientras no se llene.</t>
        </is>
      </c>
      <c r="L38" s="3" t="inlineStr"/>
      <c r="M38" s="3" t="inlineStr">
        <is>
          <t>Pendiente</t>
        </is>
      </c>
      <c r="N38" s="3" t="inlineStr"/>
      <c r="O38" s="3" t="inlineStr"/>
      <c r="P38" s="3" t="inlineStr"/>
      <c r="Q38" s="3" t="inlineStr"/>
    </row>
    <row r="39">
      <c r="A39" s="3" t="inlineStr">
        <is>
          <t>IT-API-20</t>
        </is>
      </c>
      <c r="B39" s="3" t="inlineStr">
        <is>
          <t>N2</t>
        </is>
      </c>
      <c r="C39" s="3" t="inlineStr">
        <is>
          <t>ESP32 ↔ API (contrato HTTP)</t>
        </is>
      </c>
      <c r="D39" s="3" t="inlineStr">
        <is>
          <t>API caída 3 min: la cola se vacía al recuperar</t>
        </is>
      </c>
      <c r="E39" s="3" t="inlineStr">
        <is>
          <t>RF-05</t>
        </is>
      </c>
      <c r="F39" s="3" t="inlineStr">
        <is>
          <t>Alta</t>
        </is>
      </c>
      <c r="G39" s="3" t="inlineStr">
        <is>
          <t>M</t>
        </is>
      </c>
      <c r="H39" s="3" t="inlineStr">
        <is>
          <t>ESP32 enviando con normalidad.</t>
        </is>
      </c>
      <c r="I39" s="3" t="inlineStr">
        <is>
          <t>1. sudo systemctl stop sensores-api (3 min)
2. sudo systemctl start sensores-api
3. Comparar seq del monitor serie vs BD</t>
        </is>
      </c>
      <c r="J39" s="3" t="inlineStr">
        <is>
          <t>—</t>
        </is>
      </c>
      <c r="K39" s="3" t="inlineStr">
        <is>
          <t>Sin faltas ni duplicados; se usan envíos por lote para vaciar la cola; el orden se conserva.</t>
        </is>
      </c>
      <c r="L39" s="3" t="inlineStr"/>
      <c r="M39" s="3" t="inlineStr">
        <is>
          <t>Pendiente</t>
        </is>
      </c>
      <c r="N39" s="3" t="inlineStr"/>
      <c r="O39" s="3" t="inlineStr"/>
      <c r="P39" s="3" t="inlineStr"/>
      <c r="Q39" s="3" t="inlineStr"/>
    </row>
    <row r="40">
      <c r="A40" s="3" t="inlineStr">
        <is>
          <t>IT-API-21</t>
        </is>
      </c>
      <c r="B40" s="3" t="inlineStr">
        <is>
          <t>N2</t>
        </is>
      </c>
      <c r="C40" s="3" t="inlineStr">
        <is>
          <t>ESP32 ↔ API (contrato HTTP)</t>
        </is>
      </c>
      <c r="D40" s="3" t="inlineStr">
        <is>
          <t>Timeout de red: el ESP32 no se bloquea</t>
        </is>
      </c>
      <c r="E40" s="3" t="inlineStr">
        <is>
          <t>RNF-02</t>
        </is>
      </c>
      <c r="F40" s="3" t="inlineStr">
        <is>
          <t>Media</t>
        </is>
      </c>
      <c r="G40" s="3" t="inlineStr">
        <is>
          <t>M</t>
        </is>
      </c>
      <c r="H40" s="3" t="inlineStr">
        <is>
          <t>ESP32 enviando con normalidad.</t>
        </is>
      </c>
      <c r="I40" s="3" t="inlineStr">
        <is>
          <t>1. Quitar la regla del SG que permite el puerto 8000 (los paquetes se descartan)
2. Observar 2 min
3. Restaurar la regla</t>
        </is>
      </c>
      <c r="J40" s="3" t="inlineStr">
        <is>
          <t>—</t>
        </is>
      </c>
      <c r="K40" s="3" t="inlineStr">
        <is>
          <t>Cada intento termina por timeout (≈5 s), el muestreo sigue a su ritmo y al restaurar se entrega todo.</t>
        </is>
      </c>
      <c r="L40" s="3" t="inlineStr"/>
      <c r="M40" s="3" t="inlineStr">
        <is>
          <t>Pendiente</t>
        </is>
      </c>
      <c r="N40" s="3" t="inlineStr"/>
      <c r="O40" s="3" t="inlineStr"/>
      <c r="P40" s="3" t="inlineStr"/>
      <c r="Q40" s="3" t="inlineStr"/>
    </row>
    <row r="41">
      <c r="A41" s="3" t="inlineStr">
        <is>
          <t>IT-DB-01</t>
        </is>
      </c>
      <c r="B41" s="3" t="inlineStr">
        <is>
          <t>N3</t>
        </is>
      </c>
      <c r="C41" s="3" t="inlineStr">
        <is>
          <t>API ↔ Base de datos</t>
        </is>
      </c>
      <c r="D41" s="3" t="inlineStr">
        <is>
          <t>Inserta dispositivo, lectura y mediciones</t>
        </is>
      </c>
      <c r="E41" s="3" t="inlineStr">
        <is>
          <t>RF-04</t>
        </is>
      </c>
      <c r="F41" s="3" t="inlineStr">
        <is>
          <t>Alta</t>
        </is>
      </c>
      <c r="G41" s="3" t="inlineStr">
        <is>
          <t>A</t>
        </is>
      </c>
      <c r="H41" s="3" t="inlineStr">
        <is>
          <t>BD vacía.</t>
        </is>
      </c>
      <c r="I41" s="3" t="inlineStr">
        <is>
          <t>1. POST de una lectura con 2 mediciones
2. Contar filas</t>
        </is>
      </c>
      <c r="J41" s="3" t="inlineStr">
        <is>
          <t>ubicación='Laboratorio 2'</t>
        </is>
      </c>
      <c r="K41" s="3" t="inlineStr">
        <is>
          <t>1 dispositivo, 1 lectura, 2 mediciones.</t>
        </is>
      </c>
      <c r="L41" s="3" t="inlineStr">
        <is>
          <t>tests/test_bd.py::test_it_db_01</t>
        </is>
      </c>
      <c r="M41" s="3" t="inlineStr">
        <is>
          <t>Pendiente</t>
        </is>
      </c>
      <c r="N41" s="3" t="inlineStr"/>
      <c r="O41" s="3" t="inlineStr"/>
      <c r="P41" s="3" t="inlineStr"/>
      <c r="Q41" s="3" t="inlineStr"/>
    </row>
    <row r="42">
      <c r="A42" s="3" t="inlineStr">
        <is>
          <t>IT-DB-02</t>
        </is>
      </c>
      <c r="B42" s="3" t="inlineStr">
        <is>
          <t>N3</t>
        </is>
      </c>
      <c r="C42" s="3" t="inlineStr">
        <is>
          <t>API ↔ Base de datos</t>
        </is>
      </c>
      <c r="D42" s="3" t="inlineStr">
        <is>
          <t>UNIQUE (dispositivo_id, seq) a nivel de BD</t>
        </is>
      </c>
      <c r="E42" s="3" t="inlineStr">
        <is>
          <t>RF-05</t>
        </is>
      </c>
      <c r="F42" s="3" t="inlineStr">
        <is>
          <t>Alta</t>
        </is>
      </c>
      <c r="G42" s="3" t="inlineStr">
        <is>
          <t>A</t>
        </is>
      </c>
      <c r="H42" s="3" t="inlineStr">
        <is>
          <t>Lectura seq=1 guardada.</t>
        </is>
      </c>
      <c r="I42" s="3" t="inlineStr">
        <is>
          <t>1. Insertar otra fila con el mismo dispositivo y seq directamente en la BD</t>
        </is>
      </c>
      <c r="J42" s="3" t="inlineStr">
        <is>
          <t>—</t>
        </is>
      </c>
      <c r="K42" s="3" t="inlineStr">
        <is>
          <t>IntegrityError (la BD protege contra duplicados aunque falle la API).</t>
        </is>
      </c>
      <c r="L42" s="3" t="inlineStr">
        <is>
          <t>tests/test_bd.py::test_it_db_02</t>
        </is>
      </c>
      <c r="M42" s="3" t="inlineStr">
        <is>
          <t>Pendiente</t>
        </is>
      </c>
      <c r="N42" s="3" t="inlineStr"/>
      <c r="O42" s="3" t="inlineStr"/>
      <c r="P42" s="3" t="inlineStr"/>
      <c r="Q42" s="3" t="inlineStr"/>
    </row>
    <row r="43">
      <c r="A43" s="3" t="inlineStr">
        <is>
          <t>IT-DB-03</t>
        </is>
      </c>
      <c r="B43" s="3" t="inlineStr">
        <is>
          <t>N3</t>
        </is>
      </c>
      <c r="C43" s="3" t="inlineStr">
        <is>
          <t>API ↔ Base de datos</t>
        </is>
      </c>
      <c r="D43" s="3" t="inlineStr">
        <is>
          <t>Mismo seq en dispositivos distintos es válido</t>
        </is>
      </c>
      <c r="E43" s="3" t="inlineStr">
        <is>
          <t>RF-05</t>
        </is>
      </c>
      <c r="F43" s="3" t="inlineStr">
        <is>
          <t>Media</t>
        </is>
      </c>
      <c r="G43" s="3" t="inlineStr">
        <is>
          <t>A</t>
        </is>
      </c>
      <c r="H43" s="3" t="inlineStr">
        <is>
          <t>—</t>
        </is>
      </c>
      <c r="I43" s="3" t="inlineStr">
        <is>
          <t>1. POST seq=1 para esp32-01 y esp32-02</t>
        </is>
      </c>
      <c r="J43" s="3" t="inlineStr">
        <is>
          <t>—</t>
        </is>
      </c>
      <c r="K43" s="3" t="inlineStr">
        <is>
          <t>Ambos 201.</t>
        </is>
      </c>
      <c r="L43" s="3" t="inlineStr">
        <is>
          <t>tests/test_bd.py::test_it_db_03</t>
        </is>
      </c>
      <c r="M43" s="3" t="inlineStr">
        <is>
          <t>Pendiente</t>
        </is>
      </c>
      <c r="N43" s="3" t="inlineStr"/>
      <c r="O43" s="3" t="inlineStr"/>
      <c r="P43" s="3" t="inlineStr"/>
      <c r="Q43" s="3" t="inlineStr"/>
    </row>
    <row r="44">
      <c r="A44" s="3" t="inlineStr">
        <is>
          <t>IT-DB-04</t>
        </is>
      </c>
      <c r="B44" s="3" t="inlineStr">
        <is>
          <t>N3</t>
        </is>
      </c>
      <c r="C44" s="3" t="inlineStr">
        <is>
          <t>API ↔ Base de datos</t>
        </is>
      </c>
      <c r="D44" s="3" t="inlineStr">
        <is>
          <t>Nueva magnitud sin cambiar el esquema</t>
        </is>
      </c>
      <c r="E44" s="3" t="inlineStr">
        <is>
          <t>RF-07</t>
        </is>
      </c>
      <c r="F44" s="3" t="inlineStr">
        <is>
          <t>Alta</t>
        </is>
      </c>
      <c r="G44" s="3" t="inlineStr">
        <is>
          <t>A</t>
        </is>
      </c>
      <c r="H44" s="3" t="inlineStr">
        <is>
          <t>—</t>
        </is>
      </c>
      <c r="I44" s="3" t="inlineStr">
        <is>
          <t>1. POST con pm2_5 y pm10 además de T/H
2. GET</t>
        </is>
      </c>
      <c r="J44" s="3" t="inlineStr">
        <is>
          <t>pm2_5=12.5; pm10=20.1</t>
        </is>
      </c>
      <c r="K44" s="3" t="inlineStr">
        <is>
          <t>Las 4 magnitudes se guardan y se consultan.</t>
        </is>
      </c>
      <c r="L44" s="3" t="inlineStr">
        <is>
          <t>tests/test_bd.py::test_it_db_04</t>
        </is>
      </c>
      <c r="M44" s="3" t="inlineStr">
        <is>
          <t>Pendiente</t>
        </is>
      </c>
      <c r="N44" s="3" t="inlineStr"/>
      <c r="O44" s="3" t="inlineStr"/>
      <c r="P44" s="3" t="inlineStr"/>
      <c r="Q44" s="3" t="inlineStr"/>
    </row>
    <row r="45">
      <c r="A45" s="3" t="inlineStr">
        <is>
          <t>IT-DB-05</t>
        </is>
      </c>
      <c r="B45" s="3" t="inlineStr">
        <is>
          <t>N3</t>
        </is>
      </c>
      <c r="C45" s="3" t="inlineStr">
        <is>
          <t>API ↔ Base de datos</t>
        </is>
      </c>
      <c r="D45" s="3" t="inlineStr">
        <is>
          <t>Borrado en cascada</t>
        </is>
      </c>
      <c r="E45" s="3" t="inlineStr">
        <is>
          <t>RF-04</t>
        </is>
      </c>
      <c r="F45" s="3" t="inlineStr">
        <is>
          <t>Baja</t>
        </is>
      </c>
      <c r="G45" s="3" t="inlineStr">
        <is>
          <t>A</t>
        </is>
      </c>
      <c r="H45" s="3" t="inlineStr">
        <is>
          <t>Datos cargados.</t>
        </is>
      </c>
      <c r="I45" s="3" t="inlineStr">
        <is>
          <t>1. Borrar un dispositivo</t>
        </is>
      </c>
      <c r="J45" s="3" t="inlineStr">
        <is>
          <t>—</t>
        </is>
      </c>
      <c r="K45" s="3" t="inlineStr">
        <is>
          <t>Se eliminan sus lecturas y mediciones.</t>
        </is>
      </c>
      <c r="L45" s="3" t="inlineStr">
        <is>
          <t>tests/test_bd.py::test_it_db_05</t>
        </is>
      </c>
      <c r="M45" s="3" t="inlineStr">
        <is>
          <t>Pendiente</t>
        </is>
      </c>
      <c r="N45" s="3" t="inlineStr"/>
      <c r="O45" s="3" t="inlineStr"/>
      <c r="P45" s="3" t="inlineStr"/>
      <c r="Q45" s="3" t="inlineStr"/>
    </row>
    <row r="46">
      <c r="A46" s="3" t="inlineStr">
        <is>
          <t>IT-DB-06</t>
        </is>
      </c>
      <c r="B46" s="3" t="inlineStr">
        <is>
          <t>N3</t>
        </is>
      </c>
      <c r="C46" s="3" t="inlineStr">
        <is>
          <t>API ↔ Base de datos</t>
        </is>
      </c>
      <c r="D46" s="3" t="inlineStr">
        <is>
          <t>seq negativo rechazado</t>
        </is>
      </c>
      <c r="E46" s="3" t="inlineStr">
        <is>
          <t>RF-04</t>
        </is>
      </c>
      <c r="F46" s="3" t="inlineStr">
        <is>
          <t>Baja</t>
        </is>
      </c>
      <c r="G46" s="3" t="inlineStr">
        <is>
          <t>A</t>
        </is>
      </c>
      <c r="H46" s="3" t="inlineStr">
        <is>
          <t>—</t>
        </is>
      </c>
      <c r="I46" s="3" t="inlineStr">
        <is>
          <t>1. POST con seq=-1</t>
        </is>
      </c>
      <c r="J46" s="3" t="inlineStr">
        <is>
          <t>—</t>
        </is>
      </c>
      <c r="K46" s="3" t="inlineStr">
        <is>
          <t>422 antes de llegar a la BD.</t>
        </is>
      </c>
      <c r="L46" s="3" t="inlineStr">
        <is>
          <t>tests/test_bd.py::test_it_db_06</t>
        </is>
      </c>
      <c r="M46" s="3" t="inlineStr">
        <is>
          <t>Pendiente</t>
        </is>
      </c>
      <c r="N46" s="3" t="inlineStr"/>
      <c r="O46" s="3" t="inlineStr"/>
      <c r="P46" s="3" t="inlineStr"/>
      <c r="Q46" s="3" t="inlineStr"/>
    </row>
    <row r="47">
      <c r="A47" s="3" t="inlineStr">
        <is>
          <t>IT-DB-07</t>
        </is>
      </c>
      <c r="B47" s="3" t="inlineStr">
        <is>
          <t>N3</t>
        </is>
      </c>
      <c r="C47" s="3" t="inlineStr">
        <is>
          <t>API ↔ Base de datos</t>
        </is>
      </c>
      <c r="D47" s="3" t="inlineStr">
        <is>
          <t>Valores extremos sin pérdida</t>
        </is>
      </c>
      <c r="E47" s="3" t="inlineStr">
        <is>
          <t>RF-04</t>
        </is>
      </c>
      <c r="F47" s="3" t="inlineStr">
        <is>
          <t>Media</t>
        </is>
      </c>
      <c r="G47" s="3" t="inlineStr">
        <is>
          <t>A</t>
        </is>
      </c>
      <c r="H47" s="3" t="inlineStr">
        <is>
          <t>—</t>
        </is>
      </c>
      <c r="I47" s="3" t="inlineStr">
        <is>
          <t>1. POST T=-40, H=100
2. GET</t>
        </is>
      </c>
      <c r="J47" s="3" t="inlineStr">
        <is>
          <t>—</t>
        </is>
      </c>
      <c r="K47" s="3" t="inlineStr">
        <is>
          <t>Valores idénticos.</t>
        </is>
      </c>
      <c r="L47" s="3" t="inlineStr">
        <is>
          <t>tests/test_bd.py::test_it_db_07</t>
        </is>
      </c>
      <c r="M47" s="3" t="inlineStr">
        <is>
          <t>Pendiente</t>
        </is>
      </c>
      <c r="N47" s="3" t="inlineStr"/>
      <c r="O47" s="3" t="inlineStr"/>
      <c r="P47" s="3" t="inlineStr"/>
      <c r="Q47" s="3" t="inlineStr"/>
    </row>
    <row r="48">
      <c r="A48" s="3" t="inlineStr">
        <is>
          <t>IT-DB-08</t>
        </is>
      </c>
      <c r="B48" s="3" t="inlineStr">
        <is>
          <t>N3</t>
        </is>
      </c>
      <c r="C48" s="3" t="inlineStr">
        <is>
          <t>API ↔ Base de datos</t>
        </is>
      </c>
      <c r="D48" s="3" t="inlineStr">
        <is>
          <t>/health devuelve 503 si la BD no responde</t>
        </is>
      </c>
      <c r="E48" s="3" t="inlineStr">
        <is>
          <t>RNF-02</t>
        </is>
      </c>
      <c r="F48" s="3" t="inlineStr">
        <is>
          <t>Alta</t>
        </is>
      </c>
      <c r="G48" s="3" t="inlineStr">
        <is>
          <t>A</t>
        </is>
      </c>
      <c r="H48" s="3" t="inlineStr">
        <is>
          <t>—</t>
        </is>
      </c>
      <c r="I48" s="3" t="inlineStr">
        <is>
          <t>1. Iniciar la API con una BD inaccesible
2. GET /health</t>
        </is>
      </c>
      <c r="J48" s="3" t="inlineStr">
        <is>
          <t>—</t>
        </is>
      </c>
      <c r="K48" s="3" t="inlineStr">
        <is>
          <t>503 y db='sin conexión'.</t>
        </is>
      </c>
      <c r="L48" s="3" t="inlineStr">
        <is>
          <t>tests/test_bd.py::test_it_db_08</t>
        </is>
      </c>
      <c r="M48" s="3" t="inlineStr">
        <is>
          <t>Pendiente</t>
        </is>
      </c>
      <c r="N48" s="3" t="inlineStr"/>
      <c r="O48" s="3" t="inlineStr"/>
      <c r="P48" s="3" t="inlineStr"/>
      <c r="Q48" s="3" t="inlineStr"/>
    </row>
    <row r="49">
      <c r="A49" s="3" t="inlineStr">
        <is>
          <t>IT-DB-09</t>
        </is>
      </c>
      <c r="B49" s="3" t="inlineStr">
        <is>
          <t>N3</t>
        </is>
      </c>
      <c r="C49" s="3" t="inlineStr">
        <is>
          <t>API ↔ Base de datos</t>
        </is>
      </c>
      <c r="D49" s="3" t="inlineStr">
        <is>
          <t>Zonas horarias normalizadas a UTC</t>
        </is>
      </c>
      <c r="E49" s="3" t="inlineStr">
        <is>
          <t>RNF-04</t>
        </is>
      </c>
      <c r="F49" s="3" t="inlineStr">
        <is>
          <t>Media</t>
        </is>
      </c>
      <c r="G49" s="3" t="inlineStr">
        <is>
          <t>A</t>
        </is>
      </c>
      <c r="H49" s="3" t="inlineStr">
        <is>
          <t>—</t>
        </is>
      </c>
      <c r="I49" s="3" t="inlineStr">
        <is>
          <t>1. POST con ts_dispositivo con offset -03:00
2. GET</t>
        </is>
      </c>
      <c r="J49" s="3" t="inlineStr">
        <is>
          <t>2026-09-26T13:00:00-03:00</t>
        </is>
      </c>
      <c r="K49" s="3" t="inlineStr">
        <is>
          <t>Se almacena y devuelve como 16:00 UTC.</t>
        </is>
      </c>
      <c r="L49" s="3" t="inlineStr">
        <is>
          <t>tests/test_bd.py::test_it_db_09</t>
        </is>
      </c>
      <c r="M49" s="3" t="inlineStr">
        <is>
          <t>Pendiente</t>
        </is>
      </c>
      <c r="N49" s="3" t="inlineStr"/>
      <c r="O49" s="3" t="inlineStr"/>
      <c r="P49" s="3" t="inlineStr"/>
      <c r="Q49" s="3" t="inlineStr"/>
    </row>
    <row r="50">
      <c r="A50" s="3" t="inlineStr">
        <is>
          <t>IT-DB-10</t>
        </is>
      </c>
      <c r="B50" s="3" t="inlineStr">
        <is>
          <t>N3</t>
        </is>
      </c>
      <c r="C50" s="3" t="inlineStr">
        <is>
          <t>API ↔ Base de datos</t>
        </is>
      </c>
      <c r="D50" s="3" t="inlineStr">
        <is>
          <t>Suite pytest contra PostgreSQL (contenedor)</t>
        </is>
      </c>
      <c r="E50" s="3" t="inlineStr">
        <is>
          <t>RF-04</t>
        </is>
      </c>
      <c r="F50" s="3" t="inlineStr">
        <is>
          <t>Alta</t>
        </is>
      </c>
      <c r="G50" s="3" t="inlineStr">
        <is>
          <t>S</t>
        </is>
      </c>
      <c r="H50" s="3" t="inlineStr">
        <is>
          <t>Contenedor `db` en ejecución; BD de pruebas vacía; psycopg instalado.</t>
        </is>
      </c>
      <c r="I50" s="3" t="inlineStr">
        <is>
          <t>1. docker compose exec db createdb -U sensores_app sensores_test
2. TEST_DATABASE_URL=postgresql+psycopg://sensores_app:&lt;clave&gt;@localhost:5432/sensores_test pytest -m 'not carga' (con el puerto 5432 publicado temporalmente, o ejecutando pytest dentro del contenedor api)</t>
        </is>
      </c>
      <c r="J50" s="3" t="inlineStr">
        <is>
          <t>BD `sensores_test`</t>
        </is>
      </c>
      <c r="K50" s="3" t="inlineStr">
        <is>
          <t>Todas las pruebas pasan igual que en SQLite (mismos resultados en PostgreSQL).</t>
        </is>
      </c>
      <c r="L50" s="3" t="inlineStr">
        <is>
          <t>tests</t>
        </is>
      </c>
      <c r="M50" s="3" t="inlineStr">
        <is>
          <t>Pendiente</t>
        </is>
      </c>
      <c r="N50" s="3" t="inlineStr"/>
      <c r="O50" s="3" t="inlineStr"/>
      <c r="P50" s="3" t="inlineStr"/>
      <c r="Q50" s="3" t="inlineStr"/>
    </row>
    <row r="51">
      <c r="A51" s="3" t="inlineStr">
        <is>
          <t>IT-DB-11</t>
        </is>
      </c>
      <c r="B51" s="3" t="inlineStr">
        <is>
          <t>N3</t>
        </is>
      </c>
      <c r="C51" s="3" t="inlineStr">
        <is>
          <t>API ↔ Base de datos</t>
        </is>
      </c>
      <c r="D51" s="3" t="inlineStr">
        <is>
          <t>Contenedor db detenido y recuperación sin reiniciar la API</t>
        </is>
      </c>
      <c r="E51" s="3" t="inlineStr">
        <is>
          <t>RNF-02</t>
        </is>
      </c>
      <c r="F51" s="3" t="inlineStr">
        <is>
          <t>Alta</t>
        </is>
      </c>
      <c r="G51" s="3" t="inlineStr">
        <is>
          <t>M</t>
        </is>
      </c>
      <c r="H51" s="3" t="inlineStr">
        <is>
          <t>API y ESP32 funcionando.</t>
        </is>
      </c>
      <c r="I51" s="3" t="inlineStr">
        <is>
          <t>1. docker compose stop db durante 5 min
2. GET /health y observar el ESP32
3. docker compose start db
4. Observar</t>
        </is>
      </c>
      <c r="J51" s="3" t="inlineStr">
        <is>
          <t>—</t>
        </is>
      </c>
      <c r="K51" s="3" t="inlineStr">
        <is>
          <t>Durante la caída: /health 503 y POST con 5xx (el ESP32 conserva la cola). Al volver, la API reconecta sola (pool_pre_ping) y se entrega la cola sin duplicados.</t>
        </is>
      </c>
      <c r="L51" s="3" t="inlineStr"/>
      <c r="M51" s="3" t="inlineStr">
        <is>
          <t>Pendiente</t>
        </is>
      </c>
      <c r="N51" s="3" t="inlineStr"/>
      <c r="O51" s="3" t="inlineStr"/>
      <c r="P51" s="3" t="inlineStr"/>
      <c r="Q51" s="3" t="inlineStr"/>
    </row>
    <row r="52">
      <c r="A52" s="3" t="inlineStr">
        <is>
          <t>IT-E2E-01</t>
        </is>
      </c>
      <c r="B52" s="3" t="inlineStr">
        <is>
          <t>N4</t>
        </is>
      </c>
      <c r="C52" s="3" t="inlineStr">
        <is>
          <t>Extremo a extremo</t>
        </is>
      </c>
      <c r="D52" s="3" t="inlineStr">
        <is>
          <t>Camino feliz: conteo exacto</t>
        </is>
      </c>
      <c r="E52" s="3" t="inlineStr">
        <is>
          <t>RF-05</t>
        </is>
      </c>
      <c r="F52" s="3" t="inlineStr">
        <is>
          <t>Alta</t>
        </is>
      </c>
      <c r="G52" s="3" t="inlineStr">
        <is>
          <t>M</t>
        </is>
      </c>
      <c r="H52" s="3" t="inlineStr">
        <is>
          <t>Entorno completo; ESP32 real.</t>
        </is>
      </c>
      <c r="I52" s="3" t="inlineStr">
        <is>
          <t>1. Dejar correr 10 min
2. Contar seq impresos en el monitor serie
3. Contar filas por device_id en la BD</t>
        </is>
      </c>
      <c r="J52" s="3" t="inlineStr">
        <is>
          <t>≈ 60 lecturas</t>
        </is>
      </c>
      <c r="K52" s="3" t="inlineStr">
        <is>
          <t>Filas en la BD = muestras enviadas: 0 faltantes y 0 duplicados.</t>
        </is>
      </c>
      <c r="L52" s="3" t="inlineStr"/>
      <c r="M52" s="3" t="inlineStr">
        <is>
          <t>Pendiente</t>
        </is>
      </c>
      <c r="N52" s="3" t="inlineStr"/>
      <c r="O52" s="3" t="inlineStr"/>
      <c r="P52" s="3" t="inlineStr"/>
      <c r="Q52" s="3" t="inlineStr"/>
    </row>
    <row r="53">
      <c r="A53" s="3" t="inlineStr">
        <is>
          <t>IT-E2E-02</t>
        </is>
      </c>
      <c r="B53" s="3" t="inlineStr">
        <is>
          <t>N4</t>
        </is>
      </c>
      <c r="C53" s="3" t="inlineStr">
        <is>
          <t>Extremo a extremo</t>
        </is>
      </c>
      <c r="D53" s="3" t="inlineStr">
        <is>
          <t>Coherencia de valores serie ↔ BD</t>
        </is>
      </c>
      <c r="E53" s="3" t="inlineStr">
        <is>
          <t>RF-04</t>
        </is>
      </c>
      <c r="F53" s="3" t="inlineStr">
        <is>
          <t>Alta</t>
        </is>
      </c>
      <c r="G53" s="3" t="inlineStr">
        <is>
          <t>M</t>
        </is>
      </c>
      <c r="H53" s="3" t="inlineStr">
        <is>
          <t>Caso E2E-01 ejecutado.</t>
        </is>
      </c>
      <c r="I53" s="3" t="inlineStr">
        <is>
          <t>1. Comparar 10 lecturas al azar (seq, T, H)</t>
        </is>
      </c>
      <c r="J53" s="3" t="inlineStr">
        <is>
          <t>—</t>
        </is>
      </c>
      <c r="K53" s="3" t="inlineStr">
        <is>
          <t>Diferencia ≤ 0,1 (redondeo a 1 decimal).</t>
        </is>
      </c>
      <c r="L53" s="3" t="inlineStr"/>
      <c r="M53" s="3" t="inlineStr">
        <is>
          <t>Pendiente</t>
        </is>
      </c>
      <c r="N53" s="3" t="inlineStr"/>
      <c r="O53" s="3" t="inlineStr"/>
      <c r="P53" s="3" t="inlineStr"/>
      <c r="Q53" s="3" t="inlineStr"/>
    </row>
    <row r="54">
      <c r="A54" s="3" t="inlineStr">
        <is>
          <t>IT-E2E-03</t>
        </is>
      </c>
      <c r="B54" s="3" t="inlineStr">
        <is>
          <t>N4</t>
        </is>
      </c>
      <c r="C54" s="3" t="inlineStr">
        <is>
          <t>Extremo a extremo</t>
        </is>
      </c>
      <c r="D54" s="3" t="inlineStr">
        <is>
          <t>Reinicio del ESP32: seq no se reutiliza</t>
        </is>
      </c>
      <c r="E54" s="3" t="inlineStr">
        <is>
          <t>RF-05</t>
        </is>
      </c>
      <c r="F54" s="3" t="inlineStr">
        <is>
          <t>Alta</t>
        </is>
      </c>
      <c r="G54" s="3" t="inlineStr">
        <is>
          <t>M</t>
        </is>
      </c>
      <c r="H54" s="3" t="inlineStr">
        <is>
          <t>ESP32 enviando.</t>
        </is>
      </c>
      <c r="I54" s="3" t="inlineStr">
        <is>
          <t>1. Anotar el último seq
2. Pulsar EN (reset)
3. Comparar el nuevo seq inicial</t>
        </is>
      </c>
      <c r="J54" s="3" t="inlineStr">
        <is>
          <t>—</t>
        </is>
      </c>
      <c r="K54" s="3" t="inlineStr">
        <is>
          <t>El nuevo seq es mayor (salto de hasta 20 por diseño); no hay lecturas sobrescritas ni duplicadas.</t>
        </is>
      </c>
      <c r="L54" s="3" t="inlineStr"/>
      <c r="M54" s="3" t="inlineStr">
        <is>
          <t>Pendiente</t>
        </is>
      </c>
      <c r="N54" s="3" t="inlineStr"/>
      <c r="O54" s="3" t="inlineStr"/>
      <c r="P54" s="3" t="inlineStr"/>
      <c r="Q54" s="3" t="inlineStr"/>
    </row>
    <row r="55">
      <c r="A55" s="3" t="inlineStr">
        <is>
          <t>IT-E2E-04</t>
        </is>
      </c>
      <c r="B55" s="3" t="inlineStr">
        <is>
          <t>N4</t>
        </is>
      </c>
      <c r="C55" s="3" t="inlineStr">
        <is>
          <t>Extremo a extremo</t>
        </is>
      </c>
      <c r="D55" s="3" t="inlineStr">
        <is>
          <t>Dos dispositivos simultáneos</t>
        </is>
      </c>
      <c r="E55" s="3" t="inlineStr">
        <is>
          <t>RF-05</t>
        </is>
      </c>
      <c r="F55" s="3" t="inlineStr">
        <is>
          <t>Media</t>
        </is>
      </c>
      <c r="G55" s="3" t="inlineStr">
        <is>
          <t>S</t>
        </is>
      </c>
      <c r="H55" s="3" t="inlineStr">
        <is>
          <t>ESP32 real activo.</t>
        </is>
      </c>
      <c r="I55" s="3" t="inlineStr">
        <is>
          <t>1. python simulador_sensor.py --devices 1 --count 60 --interval 10 --verify (mientras corre el ESP32)</t>
        </is>
      </c>
      <c r="J55" s="3" t="inlineStr">
        <is>
          <t>—</t>
        </is>
      </c>
      <c r="K55" s="3" t="inlineStr">
        <is>
          <t>Cada dispositivo conserva su propia secuencia; sin interferencia.</t>
        </is>
      </c>
      <c r="L55" s="3" t="inlineStr">
        <is>
          <t>scripts/simulador_sensor.py</t>
        </is>
      </c>
      <c r="M55" s="3" t="inlineStr">
        <is>
          <t>Pendiente</t>
        </is>
      </c>
      <c r="N55" s="3" t="inlineStr"/>
      <c r="O55" s="3" t="inlineStr"/>
      <c r="P55" s="3" t="inlineStr"/>
      <c r="Q55" s="3" t="inlineStr"/>
    </row>
    <row r="56">
      <c r="A56" s="3" t="inlineStr">
        <is>
          <t>IT-E2E-05</t>
        </is>
      </c>
      <c r="B56" s="3" t="inlineStr">
        <is>
          <t>N4</t>
        </is>
      </c>
      <c r="C56" s="3" t="inlineStr">
        <is>
          <t>Extremo a extremo</t>
        </is>
      </c>
      <c r="D56" s="3" t="inlineStr">
        <is>
          <t>Trazabilidad temporal</t>
        </is>
      </c>
      <c r="E56" s="3" t="inlineStr">
        <is>
          <t>RNF-04</t>
        </is>
      </c>
      <c r="F56" s="3" t="inlineStr">
        <is>
          <t>Media</t>
        </is>
      </c>
      <c r="G56" s="3" t="inlineStr">
        <is>
          <t>M</t>
        </is>
      </c>
      <c r="H56" s="3" t="inlineStr">
        <is>
          <t>NTP funcionando.</t>
        </is>
      </c>
      <c r="I56" s="3" t="inlineStr">
        <is>
          <t>1. Consultar 20 lecturas
2. Calcular |ts_servidor − ts_dispositivo|</t>
        </is>
      </c>
      <c r="J56" s="3" t="inlineStr">
        <is>
          <t>—</t>
        </is>
      </c>
      <c r="K56" s="3" t="inlineStr">
        <is>
          <t>Diferencia &lt; 60 s (en operación normal).</t>
        </is>
      </c>
      <c r="L56" s="3" t="inlineStr"/>
      <c r="M56" s="3" t="inlineStr">
        <is>
          <t>Pendiente</t>
        </is>
      </c>
      <c r="N56" s="3" t="inlineStr"/>
      <c r="O56" s="3" t="inlineStr"/>
      <c r="P56" s="3" t="inlineStr"/>
      <c r="Q56" s="3" t="inlineStr"/>
    </row>
    <row r="57">
      <c r="A57" s="3" t="inlineStr">
        <is>
          <t>IT-E2E-06</t>
        </is>
      </c>
      <c r="B57" s="3" t="inlineStr">
        <is>
          <t>N4</t>
        </is>
      </c>
      <c r="C57" s="3" t="inlineStr">
        <is>
          <t>Extremo a extremo</t>
        </is>
      </c>
      <c r="D57" s="3" t="inlineStr">
        <is>
          <t>Consulta por rango de fechas</t>
        </is>
      </c>
      <c r="E57" s="3" t="inlineStr">
        <is>
          <t>RF-06</t>
        </is>
      </c>
      <c r="F57" s="3" t="inlineStr">
        <is>
          <t>Media</t>
        </is>
      </c>
      <c r="G57" s="3" t="inlineStr">
        <is>
          <t>S</t>
        </is>
      </c>
      <c r="H57" s="3" t="inlineStr">
        <is>
          <t>≥ 30 min de datos.</t>
        </is>
      </c>
      <c r="I57" s="3" t="inlineStr">
        <is>
          <t>1. GET ?desde=…&amp;hasta=… con un rango de 5 min</t>
        </is>
      </c>
      <c r="J57" s="3" t="inlineStr">
        <is>
          <t>—</t>
        </is>
      </c>
      <c r="K57" s="3" t="inlineStr">
        <is>
          <t>Solo lecturas dentro del rango, ordenadas de la más reciente.</t>
        </is>
      </c>
      <c r="L57" s="3" t="inlineStr"/>
      <c r="M57" s="3" t="inlineStr">
        <is>
          <t>Pendiente</t>
        </is>
      </c>
      <c r="N57" s="3" t="inlineStr"/>
      <c r="O57" s="3" t="inlineStr"/>
      <c r="P57" s="3" t="inlineStr"/>
      <c r="Q57" s="3" t="inlineStr"/>
    </row>
    <row r="58">
      <c r="A58" s="3" t="inlineStr">
        <is>
          <t>IT-E2E-07</t>
        </is>
      </c>
      <c r="B58" s="3" t="inlineStr">
        <is>
          <t>N4</t>
        </is>
      </c>
      <c r="C58" s="3" t="inlineStr">
        <is>
          <t>Extremo a extremo</t>
        </is>
      </c>
      <c r="D58" s="3" t="inlineStr">
        <is>
          <t>Nueva magnitud extremo a extremo</t>
        </is>
      </c>
      <c r="E58" s="3" t="inlineStr">
        <is>
          <t>RF-07</t>
        </is>
      </c>
      <c r="F58" s="3" t="inlineStr">
        <is>
          <t>Media</t>
        </is>
      </c>
      <c r="G58" s="3" t="inlineStr">
        <is>
          <t>S</t>
        </is>
      </c>
      <c r="H58" s="3" t="inlineStr">
        <is>
          <t>API en EC2.</t>
        </is>
      </c>
      <c r="I58" s="3" t="inlineStr">
        <is>
          <t>1. python simulador_sensor.py --with-pm --devices 1 --count 10 --verify</t>
        </is>
      </c>
      <c r="J58" s="3" t="inlineStr">
        <is>
          <t>pm2_5</t>
        </is>
      </c>
      <c r="K58" s="3" t="inlineStr">
        <is>
          <t>Se guarda y se consulta sin migrar el esquema.</t>
        </is>
      </c>
      <c r="L58" s="3" t="inlineStr">
        <is>
          <t>scripts/simulador_sensor.py</t>
        </is>
      </c>
      <c r="M58" s="3" t="inlineStr">
        <is>
          <t>Pendiente</t>
        </is>
      </c>
      <c r="N58" s="3" t="inlineStr"/>
      <c r="O58" s="3" t="inlineStr"/>
      <c r="P58" s="3" t="inlineStr"/>
      <c r="Q58" s="3" t="inlineStr"/>
    </row>
    <row r="59">
      <c r="A59" s="3" t="inlineStr">
        <is>
          <t>IT-NFR-01</t>
        </is>
      </c>
      <c r="B59" s="3" t="inlineStr">
        <is>
          <t>N5</t>
        </is>
      </c>
      <c r="C59" s="3" t="inlineStr">
        <is>
          <t>No funcionales</t>
        </is>
      </c>
      <c r="D59" s="3" t="inlineStr">
        <is>
          <t>Latencia local: 200 envíos, p95 &lt; 0,5 s</t>
        </is>
      </c>
      <c r="E59" s="3" t="inlineStr">
        <is>
          <t>RNF-01</t>
        </is>
      </c>
      <c r="F59" s="3" t="inlineStr">
        <is>
          <t>Media</t>
        </is>
      </c>
      <c r="G59" s="3" t="inlineStr">
        <is>
          <t>A</t>
        </is>
      </c>
      <c r="H59" s="3" t="inlineStr">
        <is>
          <t>SQLite local.</t>
        </is>
      </c>
      <c r="I59" s="3" t="inlineStr">
        <is>
          <t>1. Ejecutar la prueba de carga ligera</t>
        </is>
      </c>
      <c r="J59" s="3" t="inlineStr">
        <is>
          <t>200 envíos</t>
        </is>
      </c>
      <c r="K59" s="3" t="inlineStr">
        <is>
          <t>p95 &lt; 0,5 s.</t>
        </is>
      </c>
      <c r="L59" s="3" t="inlineStr">
        <is>
          <t>tests/test_seguridad_y_carga.py::test_it_nfr_01</t>
        </is>
      </c>
      <c r="M59" s="3" t="inlineStr">
        <is>
          <t>Pendiente</t>
        </is>
      </c>
      <c r="N59" s="3" t="inlineStr"/>
      <c r="O59" s="3" t="inlineStr"/>
      <c r="P59" s="3" t="inlineStr"/>
      <c r="Q59" s="3" t="inlineStr"/>
    </row>
    <row r="60">
      <c r="A60" s="3" t="inlineStr">
        <is>
          <t>IT-NFR-02</t>
        </is>
      </c>
      <c r="B60" s="3" t="inlineStr">
        <is>
          <t>N5</t>
        </is>
      </c>
      <c r="C60" s="3" t="inlineStr">
        <is>
          <t>No funcionales</t>
        </is>
      </c>
      <c r="D60" s="3" t="inlineStr">
        <is>
          <t>Reintentos masivos sin duplicados</t>
        </is>
      </c>
      <c r="E60" s="3" t="inlineStr">
        <is>
          <t>RF-05</t>
        </is>
      </c>
      <c r="F60" s="3" t="inlineStr">
        <is>
          <t>Alta</t>
        </is>
      </c>
      <c r="G60" s="3" t="inlineStr">
        <is>
          <t>A</t>
        </is>
      </c>
      <c r="H60" s="3" t="inlineStr">
        <is>
          <t>—</t>
        </is>
      </c>
      <c r="I60" s="3" t="inlineStr">
        <is>
          <t>1. Enviar 20 seq × 5 veces</t>
        </is>
      </c>
      <c r="J60" s="3" t="inlineStr">
        <is>
          <t>—</t>
        </is>
      </c>
      <c r="K60" s="3" t="inlineStr">
        <is>
          <t>Exactamente 20 filas.</t>
        </is>
      </c>
      <c r="L60" s="3" t="inlineStr">
        <is>
          <t>tests/test_seguridad_y_carga.py::test_it_nfr_02</t>
        </is>
      </c>
      <c r="M60" s="3" t="inlineStr">
        <is>
          <t>Pendiente</t>
        </is>
      </c>
      <c r="N60" s="3" t="inlineStr"/>
      <c r="O60" s="3" t="inlineStr"/>
      <c r="P60" s="3" t="inlineStr"/>
      <c r="Q60" s="3" t="inlineStr"/>
    </row>
    <row r="61">
      <c r="A61" s="3" t="inlineStr">
        <is>
          <t>IT-NFR-03</t>
        </is>
      </c>
      <c r="B61" s="3" t="inlineStr">
        <is>
          <t>N5</t>
        </is>
      </c>
      <c r="C61" s="3" t="inlineStr">
        <is>
          <t>No funcionales</t>
        </is>
      </c>
      <c r="D61" s="3" t="inlineStr">
        <is>
          <t>Latencia real hacia AWS (p95 &lt; 2 s)</t>
        </is>
      </c>
      <c r="E61" s="3" t="inlineStr">
        <is>
          <t>RNF-01</t>
        </is>
      </c>
      <c r="F61" s="3" t="inlineStr">
        <is>
          <t>Alta</t>
        </is>
      </c>
      <c r="G61" s="3" t="inlineStr">
        <is>
          <t>S</t>
        </is>
      </c>
      <c r="H61" s="3" t="inlineStr">
        <is>
          <t>API en EC2; simulador ejecutado desde fuera de AWS.</t>
        </is>
      </c>
      <c r="I61" s="3" t="inlineStr">
        <is>
          <t>1. python simulador_sensor.py --url http://&lt;IP&gt;:8000 --devices 3 --count 100 --interval 1 --parallel --verify</t>
        </is>
      </c>
      <c r="J61" s="3" t="inlineStr">
        <is>
          <t>—</t>
        </is>
      </c>
      <c r="K61" s="3" t="inlineStr">
        <is>
          <t>p95 &lt; 2 s; 0 errores de red; verificación OK.</t>
        </is>
      </c>
      <c r="L61" s="3" t="inlineStr">
        <is>
          <t>scripts/simulador_sensor.py</t>
        </is>
      </c>
      <c r="M61" s="3" t="inlineStr">
        <is>
          <t>Pendiente</t>
        </is>
      </c>
      <c r="N61" s="3" t="inlineStr"/>
      <c r="O61" s="3" t="inlineStr"/>
      <c r="P61" s="3" t="inlineStr"/>
      <c r="Q61" s="3" t="inlineStr"/>
    </row>
    <row r="62">
      <c r="A62" s="3" t="inlineStr">
        <is>
          <t>IT-NFR-04</t>
        </is>
      </c>
      <c r="B62" s="3" t="inlineStr">
        <is>
          <t>N5</t>
        </is>
      </c>
      <c r="C62" s="3" t="inlineStr">
        <is>
          <t>No funcionales</t>
        </is>
      </c>
      <c r="D62" s="3" t="inlineStr">
        <is>
          <t>Carga: 20 dispositivos × 10 min</t>
        </is>
      </c>
      <c r="E62" s="3" t="inlineStr">
        <is>
          <t>RNF-01</t>
        </is>
      </c>
      <c r="F62" s="3" t="inlineStr">
        <is>
          <t>Media</t>
        </is>
      </c>
      <c r="G62" s="3" t="inlineStr">
        <is>
          <t>S</t>
        </is>
      </c>
      <c r="H62" s="3" t="inlineStr">
        <is>
          <t>Entorno AWS completo.</t>
        </is>
      </c>
      <c r="I62" s="3" t="inlineStr">
        <is>
          <t>1. python simulador_sensor.py --devices 20 --count 600 --interval 1 --parallel --verify
2. Observar CPU/memoria de la EC2 (top) y conexiones de PostgreSQL (docker stats)</t>
        </is>
      </c>
      <c r="J62" s="3" t="inlineStr">
        <is>
          <t>20 dispositivos, 1 lectura/s</t>
        </is>
      </c>
      <c r="K62" s="3" t="inlineStr">
        <is>
          <t>0 respuestas 5xx; verificación OK; CPU EC2 &lt; 80 %.</t>
        </is>
      </c>
      <c r="L62" s="3" t="inlineStr">
        <is>
          <t>scripts/simulador_sensor.py</t>
        </is>
      </c>
      <c r="M62" s="3" t="inlineStr">
        <is>
          <t>Pendiente</t>
        </is>
      </c>
      <c r="N62" s="3" t="inlineStr"/>
      <c r="O62" s="3" t="inlineStr"/>
      <c r="P62" s="3" t="inlineStr"/>
      <c r="Q62" s="3" t="inlineStr"/>
    </row>
    <row r="63">
      <c r="A63" s="3" t="inlineStr">
        <is>
          <t>IT-NFR-05</t>
        </is>
      </c>
      <c r="B63" s="3" t="inlineStr">
        <is>
          <t>N5</t>
        </is>
      </c>
      <c r="C63" s="3" t="inlineStr">
        <is>
          <t>No funcionales</t>
        </is>
      </c>
      <c r="D63" s="3" t="inlineStr">
        <is>
          <t>Soak de 3 h con ESP32 real</t>
        </is>
      </c>
      <c r="E63" s="3" t="inlineStr">
        <is>
          <t>RNF-02</t>
        </is>
      </c>
      <c r="F63" s="3" t="inlineStr">
        <is>
          <t>Alta</t>
        </is>
      </c>
      <c r="G63" s="3" t="inlineStr">
        <is>
          <t>M</t>
        </is>
      </c>
      <c r="H63" s="3" t="inlineStr">
        <is>
          <t>Alimentación estable; sesión del laboratorio con ≥ 3,5 h restantes.</t>
        </is>
      </c>
      <c r="I63" s="3" t="inlineStr">
        <is>
          <t>1. Dejar funcionando 3 h
2. Cada 30 min revisar el monitor serie
3. Al final: comparar enviadas vs BD y buscar saltos de seq ≥ 20 (reinicios)</t>
        </is>
      </c>
      <c r="J63" s="3" t="inlineStr">
        <is>
          <t>≈ 1080 lecturas</t>
        </is>
      </c>
      <c r="K63" s="3" t="inlineStr">
        <is>
          <t>Entrega ≥ 99 %, 0 duplicados, 0 reinicios inesperados.</t>
        </is>
      </c>
      <c r="L63" s="3" t="inlineStr"/>
      <c r="M63" s="3" t="inlineStr">
        <is>
          <t>Pendiente</t>
        </is>
      </c>
      <c r="N63" s="3" t="inlineStr"/>
      <c r="O63" s="3" t="inlineStr"/>
      <c r="P63" s="3" t="inlineStr"/>
      <c r="Q63" s="3" t="inlineStr"/>
    </row>
    <row r="64">
      <c r="A64" s="3" t="inlineStr">
        <is>
          <t>IT-NFR-06</t>
        </is>
      </c>
      <c r="B64" s="3" t="inlineStr">
        <is>
          <t>N5</t>
        </is>
      </c>
      <c r="C64" s="3" t="inlineStr">
        <is>
          <t>No funcionales</t>
        </is>
      </c>
      <c r="D64" s="3" t="inlineStr">
        <is>
          <t>Corte de energía del ESP32</t>
        </is>
      </c>
      <c r="E64" s="3" t="inlineStr">
        <is>
          <t>RNF-02</t>
        </is>
      </c>
      <c r="F64" s="3" t="inlineStr">
        <is>
          <t>Media</t>
        </is>
      </c>
      <c r="G64" s="3" t="inlineStr">
        <is>
          <t>M</t>
        </is>
      </c>
      <c r="H64" s="3" t="inlineStr">
        <is>
          <t>ESP32 enviando.</t>
        </is>
      </c>
      <c r="I64" s="3" t="inlineStr">
        <is>
          <t>1. Desconectar la alimentación 1 min
2. Reconectar</t>
        </is>
      </c>
      <c r="J64" s="3" t="inlineStr">
        <is>
          <t>—</t>
        </is>
      </c>
      <c r="K64" s="3" t="inlineStr">
        <is>
          <t>Lo ya guardado permanece íntegro; se reanuda solo. Se documenta la pérdida máxima (cola en RAM ≤ 60 muestras).</t>
        </is>
      </c>
      <c r="L64" s="3" t="inlineStr"/>
      <c r="M64" s="3" t="inlineStr">
        <is>
          <t>Pendiente</t>
        </is>
      </c>
      <c r="N64" s="3" t="inlineStr"/>
      <c r="O64" s="3" t="inlineStr"/>
      <c r="P64" s="3" t="inlineStr"/>
      <c r="Q64" s="3" t="inlineStr"/>
    </row>
    <row r="65">
      <c r="A65" s="3" t="inlineStr">
        <is>
          <t>IT-NFR-07</t>
        </is>
      </c>
      <c r="B65" s="3" t="inlineStr">
        <is>
          <t>N5</t>
        </is>
      </c>
      <c r="C65" s="3" t="inlineStr">
        <is>
          <t>No funcionales</t>
        </is>
      </c>
      <c r="D65" s="3" t="inlineStr">
        <is>
          <t>Reinicio de la EC2</t>
        </is>
      </c>
      <c r="E65" s="3" t="inlineStr">
        <is>
          <t>RNF-02</t>
        </is>
      </c>
      <c r="F65" s="3" t="inlineStr">
        <is>
          <t>Alta</t>
        </is>
      </c>
      <c r="G65" s="3" t="inlineStr">
        <is>
          <t>M</t>
        </is>
      </c>
      <c r="H65" s="3" t="inlineStr">
        <is>
          <t>Elastic IP asignada.</t>
        </is>
      </c>
      <c r="I65" s="3" t="inlineStr">
        <is>
          <t>1. Reiniciar la instancia
2. Esperar el arranque
3. Observar el ESP32</t>
        </is>
      </c>
      <c r="J65" s="3" t="inlineStr">
        <is>
          <t>—</t>
        </is>
      </c>
      <c r="K65" s="3" t="inlineStr">
        <is>
          <t>Los contenedores arrancan solos (restart: unless-stopped) y el ESP32 reanuda el envío. Sin Elastic IP la IP cambia: se documenta como riesgo R-01.</t>
        </is>
      </c>
      <c r="L65" s="3" t="inlineStr"/>
      <c r="M65" s="3" t="inlineStr">
        <is>
          <t>Pendiente</t>
        </is>
      </c>
      <c r="N65" s="3" t="inlineStr"/>
      <c r="O65" s="3" t="inlineStr"/>
      <c r="P65" s="3" t="inlineStr"/>
      <c r="Q65" s="3" t="inlineStr"/>
    </row>
    <row r="66">
      <c r="A66" s="3" t="inlineStr">
        <is>
          <t>IT-NFR-08</t>
        </is>
      </c>
      <c r="B66" s="3" t="inlineStr">
        <is>
          <t>N5</t>
        </is>
      </c>
      <c r="C66" s="3" t="inlineStr">
        <is>
          <t>No funcionales</t>
        </is>
      </c>
      <c r="D66" s="3" t="inlineStr">
        <is>
          <t>Cola llena tras 15 min sin red</t>
        </is>
      </c>
      <c r="E66" s="3" t="inlineStr">
        <is>
          <t>RF-05</t>
        </is>
      </c>
      <c r="F66" s="3" t="inlineStr">
        <is>
          <t>Media</t>
        </is>
      </c>
      <c r="G66" s="3" t="inlineStr">
        <is>
          <t>M</t>
        </is>
      </c>
      <c r="H66" s="3" t="inlineStr">
        <is>
          <t>Firmware con COLA_MAX=60 e INTERVALO=10 s.</t>
        </is>
      </c>
      <c r="I66" s="3" t="inlineStr">
        <is>
          <t>1. Apagar el router 15 min
2. Encenderlo
3. Comparar con la BD</t>
        </is>
      </c>
      <c r="J66" s="3" t="inlineStr">
        <is>
          <t>—</t>
        </is>
      </c>
      <c r="K66" s="3" t="inlineStr">
        <is>
          <t>Se conservan las últimas 60 muestras, las más antiguas se descartan y el contador `perdidas` coincide con las faltantes en la BD.</t>
        </is>
      </c>
      <c r="L66" s="3" t="inlineStr"/>
      <c r="M66" s="3" t="inlineStr">
        <is>
          <t>Pendiente</t>
        </is>
      </c>
      <c r="N66" s="3" t="inlineStr"/>
      <c r="O66" s="3" t="inlineStr"/>
      <c r="P66" s="3" t="inlineStr"/>
      <c r="Q66" s="3" t="inlineStr"/>
    </row>
    <row r="67">
      <c r="A67" s="3" t="inlineStr">
        <is>
          <t>IT-NFR-09</t>
        </is>
      </c>
      <c r="B67" s="3" t="inlineStr">
        <is>
          <t>N5</t>
        </is>
      </c>
      <c r="C67" s="3" t="inlineStr">
        <is>
          <t>No funcionales</t>
        </is>
      </c>
      <c r="D67" s="3" t="inlineStr">
        <is>
          <t>Crecimiento de la BD</t>
        </is>
      </c>
      <c r="E67" s="3" t="inlineStr">
        <is>
          <t>RNF-02</t>
        </is>
      </c>
      <c r="F67" s="3" t="inlineStr">
        <is>
          <t>Baja</t>
        </is>
      </c>
      <c r="G67" s="3" t="inlineStr">
        <is>
          <t>S</t>
        </is>
      </c>
      <c r="H67" s="3" t="inlineStr">
        <is>
          <t>≥ 10 000 lecturas cargadas con el simulador.</t>
        </is>
      </c>
      <c r="I67" s="3" t="inlineStr">
        <is>
          <t>1. Consultar pg_total_relation_size para las 3 tablas</t>
        </is>
      </c>
      <c r="J67" s="3" t="inlineStr">
        <is>
          <t>—</t>
        </is>
      </c>
      <c r="K67" s="3" t="inlineStr">
        <is>
          <t>Se documenta el tamaño por 1000 lecturas y la proyección a 30 días para 10 dispositivos.</t>
        </is>
      </c>
      <c r="L67" s="3" t="inlineStr"/>
      <c r="M67" s="3" t="inlineStr">
        <is>
          <t>Pendiente</t>
        </is>
      </c>
      <c r="N67" s="3" t="inlineStr"/>
      <c r="O67" s="3" t="inlineStr"/>
      <c r="P67" s="3" t="inlineStr"/>
      <c r="Q67" s="3" t="inlineStr"/>
    </row>
    <row r="68">
      <c r="A68" s="3" t="inlineStr">
        <is>
          <t>IT-SEC-01</t>
        </is>
      </c>
      <c r="B68" s="3" t="inlineStr">
        <is>
          <t>N6</t>
        </is>
      </c>
      <c r="C68" s="3" t="inlineStr">
        <is>
          <t>Seguridad básica</t>
        </is>
      </c>
      <c r="D68" s="3" t="inlineStr">
        <is>
          <t>Inyección SQL en device_id</t>
        </is>
      </c>
      <c r="E68" s="3" t="inlineStr">
        <is>
          <t>RNF-03</t>
        </is>
      </c>
      <c r="F68" s="3" t="inlineStr">
        <is>
          <t>Alta</t>
        </is>
      </c>
      <c r="G68" s="3" t="inlineStr">
        <is>
          <t>A</t>
        </is>
      </c>
      <c r="H68" s="3" t="inlineStr">
        <is>
          <t>—</t>
        </is>
      </c>
      <c r="I68" s="3" t="inlineStr">
        <is>
          <t>1. POST con device_id="x'; DROP TABLE lectura;--"</t>
        </is>
      </c>
      <c r="J68" s="3" t="inlineStr">
        <is>
          <t>—</t>
        </is>
      </c>
      <c r="K68" s="3" t="inlineStr">
        <is>
          <t>422; las tablas siguen intactas.</t>
        </is>
      </c>
      <c r="L68" s="3" t="inlineStr">
        <is>
          <t>tests/test_seguridad_y_carga.py::test_it_sec_01</t>
        </is>
      </c>
      <c r="M68" s="3" t="inlineStr">
        <is>
          <t>Pendiente</t>
        </is>
      </c>
      <c r="N68" s="3" t="inlineStr"/>
      <c r="O68" s="3" t="inlineStr"/>
      <c r="P68" s="3" t="inlineStr"/>
      <c r="Q68" s="3" t="inlineStr"/>
    </row>
    <row r="69">
      <c r="A69" s="3" t="inlineStr">
        <is>
          <t>IT-SEC-02</t>
        </is>
      </c>
      <c r="B69" s="3" t="inlineStr">
        <is>
          <t>N6</t>
        </is>
      </c>
      <c r="C69" s="3" t="inlineStr">
        <is>
          <t>Seguridad básica</t>
        </is>
      </c>
      <c r="D69" s="3" t="inlineStr">
        <is>
          <t>Inyección SQL en texto libre</t>
        </is>
      </c>
      <c r="E69" s="3" t="inlineStr">
        <is>
          <t>RNF-03</t>
        </is>
      </c>
      <c r="F69" s="3" t="inlineStr">
        <is>
          <t>Alta</t>
        </is>
      </c>
      <c r="G69" s="3" t="inlineStr">
        <is>
          <t>A</t>
        </is>
      </c>
      <c r="H69" s="3" t="inlineStr">
        <is>
          <t>—</t>
        </is>
      </c>
      <c r="I69" s="3" t="inlineStr">
        <is>
          <t>1. POST con ubicacion="'); DROP TABLE dispositivo;--"</t>
        </is>
      </c>
      <c r="J69" s="3" t="inlineStr">
        <is>
          <t>—</t>
        </is>
      </c>
      <c r="K69" s="3" t="inlineStr">
        <is>
          <t>Se guarda literalmente; las tablas siguen intactas.</t>
        </is>
      </c>
      <c r="L69" s="3" t="inlineStr">
        <is>
          <t>tests/test_seguridad_y_carga.py::test_it_sec_02</t>
        </is>
      </c>
      <c r="M69" s="3" t="inlineStr">
        <is>
          <t>Pendiente</t>
        </is>
      </c>
      <c r="N69" s="3" t="inlineStr"/>
      <c r="O69" s="3" t="inlineStr"/>
      <c r="P69" s="3" t="inlineStr"/>
      <c r="Q69" s="3" t="inlineStr"/>
    </row>
    <row r="70">
      <c r="A70" s="3" t="inlineStr">
        <is>
          <t>IT-SEC-03</t>
        </is>
      </c>
      <c r="B70" s="3" t="inlineStr">
        <is>
          <t>N6</t>
        </is>
      </c>
      <c r="C70" s="3" t="inlineStr">
        <is>
          <t>Seguridad básica</t>
        </is>
      </c>
      <c r="D70" s="3" t="inlineStr">
        <is>
          <t>Inyección SQL en filtros GET</t>
        </is>
      </c>
      <c r="E70" s="3" t="inlineStr">
        <is>
          <t>RNF-03</t>
        </is>
      </c>
      <c r="F70" s="3" t="inlineStr">
        <is>
          <t>Media</t>
        </is>
      </c>
      <c r="G70" s="3" t="inlineStr">
        <is>
          <t>A</t>
        </is>
      </c>
      <c r="H70" s="3" t="inlineStr">
        <is>
          <t>—</t>
        </is>
      </c>
      <c r="I70" s="3" t="inlineStr">
        <is>
          <t>1. GET ?device_id=a' OR '1'='1</t>
        </is>
      </c>
      <c r="J70" s="3" t="inlineStr">
        <is>
          <t>—</t>
        </is>
      </c>
      <c r="K70" s="3" t="inlineStr">
        <is>
          <t>422.</t>
        </is>
      </c>
      <c r="L70" s="3" t="inlineStr">
        <is>
          <t>tests/test_seguridad_y_carga.py::test_it_sec_03</t>
        </is>
      </c>
      <c r="M70" s="3" t="inlineStr">
        <is>
          <t>Pendiente</t>
        </is>
      </c>
      <c r="N70" s="3" t="inlineStr"/>
      <c r="O70" s="3" t="inlineStr"/>
      <c r="P70" s="3" t="inlineStr"/>
      <c r="Q70" s="3" t="inlineStr"/>
    </row>
    <row r="71">
      <c r="A71" s="3" t="inlineStr">
        <is>
          <t>IT-SEC-04</t>
        </is>
      </c>
      <c r="B71" s="3" t="inlineStr">
        <is>
          <t>N6</t>
        </is>
      </c>
      <c r="C71" s="3" t="inlineStr">
        <is>
          <t>Seguridad básica</t>
        </is>
      </c>
      <c r="D71" s="3" t="inlineStr">
        <is>
          <t>Magnitud con caracteres no permitidos</t>
        </is>
      </c>
      <c r="E71" s="3" t="inlineStr">
        <is>
          <t>RNF-03</t>
        </is>
      </c>
      <c r="F71" s="3" t="inlineStr">
        <is>
          <t>Media</t>
        </is>
      </c>
      <c r="G71" s="3" t="inlineStr">
        <is>
          <t>A</t>
        </is>
      </c>
      <c r="H71" s="3" t="inlineStr">
        <is>
          <t>—</t>
        </is>
      </c>
      <c r="I71" s="3" t="inlineStr">
        <is>
          <t>1. POST con magnitud='temp; DROP'</t>
        </is>
      </c>
      <c r="J71" s="3" t="inlineStr">
        <is>
          <t>—</t>
        </is>
      </c>
      <c r="K71" s="3" t="inlineStr">
        <is>
          <t>422.</t>
        </is>
      </c>
      <c r="L71" s="3" t="inlineStr">
        <is>
          <t>tests/test_seguridad_y_carga.py::test_it_sec_04</t>
        </is>
      </c>
      <c r="M71" s="3" t="inlineStr">
        <is>
          <t>Pendiente</t>
        </is>
      </c>
      <c r="N71" s="3" t="inlineStr"/>
      <c r="O71" s="3" t="inlineStr"/>
      <c r="P71" s="3" t="inlineStr"/>
      <c r="Q71" s="3" t="inlineStr"/>
    </row>
    <row r="72">
      <c r="A72" s="3" t="inlineStr">
        <is>
          <t>IT-SEC-05</t>
        </is>
      </c>
      <c r="B72" s="3" t="inlineStr">
        <is>
          <t>N6</t>
        </is>
      </c>
      <c r="C72" s="3" t="inlineStr">
        <is>
          <t>Seguridad básica</t>
        </is>
      </c>
      <c r="D72" s="3" t="inlineStr">
        <is>
          <t>Sin claves configuradas se rechaza todo</t>
        </is>
      </c>
      <c r="E72" s="3" t="inlineStr">
        <is>
          <t>RNF-03</t>
        </is>
      </c>
      <c r="F72" s="3" t="inlineStr">
        <is>
          <t>Media</t>
        </is>
      </c>
      <c r="G72" s="3" t="inlineStr">
        <is>
          <t>A</t>
        </is>
      </c>
      <c r="H72" s="3" t="inlineStr">
        <is>
          <t>—</t>
        </is>
      </c>
      <c r="I72" s="3" t="inlineStr">
        <is>
          <t>1. Iniciar la API con API_KEYS vacío
2. POST con cualquier clave</t>
        </is>
      </c>
      <c r="J72" s="3" t="inlineStr">
        <is>
          <t>—</t>
        </is>
      </c>
      <c r="K72" s="3" t="inlineStr">
        <is>
          <t>401 (falla cerrada).</t>
        </is>
      </c>
      <c r="L72" s="3" t="inlineStr">
        <is>
          <t>tests/test_seguridad_y_carga.py::test_it_sec_05</t>
        </is>
      </c>
      <c r="M72" s="3" t="inlineStr">
        <is>
          <t>Pendiente</t>
        </is>
      </c>
      <c r="N72" s="3" t="inlineStr"/>
      <c r="O72" s="3" t="inlineStr"/>
      <c r="P72" s="3" t="inlineStr"/>
      <c r="Q72" s="3" t="inlineStr"/>
    </row>
    <row r="73">
      <c r="A73" s="3" t="inlineStr">
        <is>
          <t>IT-SEC-06</t>
        </is>
      </c>
      <c r="B73" s="3" t="inlineStr">
        <is>
          <t>N6</t>
        </is>
      </c>
      <c r="C73" s="3" t="inlineStr">
        <is>
          <t>Seguridad básica</t>
        </is>
      </c>
      <c r="D73" s="3" t="inlineStr">
        <is>
          <t>PostgreSQL no accesible desde Internet</t>
        </is>
      </c>
      <c r="E73" s="3" t="inlineStr">
        <is>
          <t>RNF-03</t>
        </is>
      </c>
      <c r="F73" s="3" t="inlineStr">
        <is>
          <t>Alta</t>
        </is>
      </c>
      <c r="G73" s="3" t="inlineStr">
        <is>
          <t>S</t>
        </is>
      </c>
      <c r="H73" s="3" t="inlineStr">
        <is>
          <t>Compose sin `ports` en el servicio db; SG sin regla para 5432.</t>
        </is>
      </c>
      <c r="I73" s="3" t="inlineStr">
        <is>
          <t>1. Desde tu PC (fuera de AWS): EC2_HOST=&lt;IP&gt; ./scripts/smoke_env.sh --externo</t>
        </is>
      </c>
      <c r="J73" s="3" t="inlineStr">
        <is>
          <t>—</t>
        </is>
      </c>
      <c r="K73" s="3" t="inlineStr">
        <is>
          <t>El puerto 5432 no responde desde fuera.</t>
        </is>
      </c>
      <c r="L73" s="3" t="inlineStr">
        <is>
          <t>scripts/smoke_env.sh --externo</t>
        </is>
      </c>
      <c r="M73" s="3" t="inlineStr">
        <is>
          <t>Pendiente</t>
        </is>
      </c>
      <c r="N73" s="3" t="inlineStr"/>
      <c r="O73" s="3" t="inlineStr"/>
      <c r="P73" s="3" t="inlineStr"/>
      <c r="Q73" s="3" t="inlineStr"/>
    </row>
    <row r="74">
      <c r="A74" s="3" t="inlineStr">
        <is>
          <t>IT-SEC-07</t>
        </is>
      </c>
      <c r="B74" s="3" t="inlineStr">
        <is>
          <t>N6</t>
        </is>
      </c>
      <c r="C74" s="3" t="inlineStr">
        <is>
          <t>Seguridad básica</t>
        </is>
      </c>
      <c r="D74" s="3" t="inlineStr">
        <is>
          <t>Sin secretos en el código</t>
        </is>
      </c>
      <c r="E74" s="3" t="inlineStr">
        <is>
          <t>RNF-03</t>
        </is>
      </c>
      <c r="F74" s="3" t="inlineStr">
        <is>
          <t>Alta</t>
        </is>
      </c>
      <c r="G74" s="3" t="inlineStr">
        <is>
          <t>S</t>
        </is>
      </c>
      <c r="H74" s="3" t="inlineStr">
        <is>
          <t>—</t>
        </is>
      </c>
      <c r="I74" s="3" t="inlineStr">
        <is>
          <t>1. grep -rniE "(password|api_key|secret)\s*[=:]" . --include=*.ino --include=*.py --include=*.h --include=*.md
2. Verificar que config.h y .env están en .gitignore</t>
        </is>
      </c>
      <c r="J74" s="3" t="inlineStr">
        <is>
          <t>—</t>
        </is>
      </c>
      <c r="K74" s="3" t="inlineStr">
        <is>
          <t>Solo aparecen valores de ejemplo (`CAMBIAR`, `TU_CLAVE`); ningún secreto real.</t>
        </is>
      </c>
      <c r="L74" s="3" t="inlineStr"/>
      <c r="M74" s="3" t="inlineStr">
        <is>
          <t>Pendiente</t>
        </is>
      </c>
      <c r="N74" s="3" t="inlineStr"/>
      <c r="O74" s="3" t="inlineStr"/>
      <c r="P74" s="3" t="inlineStr"/>
      <c r="Q74" s="3" t="inlineStr"/>
    </row>
    <row r="75">
      <c r="A75" s="3" t="inlineStr">
        <is>
          <t>IT-SEC-08</t>
        </is>
      </c>
      <c r="B75" s="3" t="inlineStr">
        <is>
          <t>N6</t>
        </is>
      </c>
      <c r="C75" s="3" t="inlineStr">
        <is>
          <t>Seguridad básica</t>
        </is>
      </c>
      <c r="D75" s="3" t="inlineStr">
        <is>
          <t>La API key no aparece en los logs</t>
        </is>
      </c>
      <c r="E75" s="3" t="inlineStr">
        <is>
          <t>RNF-03</t>
        </is>
      </c>
      <c r="F75" s="3" t="inlineStr">
        <is>
          <t>Media</t>
        </is>
      </c>
      <c r="G75" s="3" t="inlineStr">
        <is>
          <t>M</t>
        </is>
      </c>
      <c r="H75" s="3" t="inlineStr">
        <is>
          <t>Contenedor api en ejecución.</t>
        </is>
      </c>
      <c r="I75" s="3" t="inlineStr">
        <is>
          <t>1. Enviar lecturas con clave válida y errónea
2. docker compose logs api | grep -i &lt;clave&gt;</t>
        </is>
      </c>
      <c r="J75" s="3" t="inlineStr">
        <is>
          <t>—</t>
        </is>
      </c>
      <c r="K75" s="3" t="inlineStr">
        <is>
          <t>Sin coincidencias.</t>
        </is>
      </c>
      <c r="L75" s="3" t="inlineStr"/>
      <c r="M75" s="3" t="inlineStr">
        <is>
          <t>Pendiente</t>
        </is>
      </c>
      <c r="N75" s="3" t="inlineStr"/>
      <c r="O75" s="3" t="inlineStr"/>
      <c r="P75" s="3" t="inlineStr"/>
      <c r="Q75" s="3" t="inlineStr"/>
    </row>
    <row r="76">
      <c r="A76" s="3" t="inlineStr">
        <is>
          <t>IT-SEC-09</t>
        </is>
      </c>
      <c r="B76" s="3" t="inlineStr">
        <is>
          <t>N6</t>
        </is>
      </c>
      <c r="C76" s="3" t="inlineStr">
        <is>
          <t>Seguridad básica</t>
        </is>
      </c>
      <c r="D76" s="3" t="inlineStr">
        <is>
          <t>Tráfico en claro vs HTTPS (fase 2)</t>
        </is>
      </c>
      <c r="E76" s="3" t="inlineStr">
        <is>
          <t>RNF-03</t>
        </is>
      </c>
      <c r="F76" s="3" t="inlineStr">
        <is>
          <t>Baja</t>
        </is>
      </c>
      <c r="G76" s="3" t="inlineStr">
        <is>
          <t>M</t>
        </is>
      </c>
      <c r="H76" s="3" t="inlineStr">
        <is>
          <t>Captura con Wireshark en la red del ESP32.</t>
        </is>
      </c>
      <c r="I76" s="3" t="inlineStr">
        <is>
          <t>1. Capturar con HTTP
2. Repetir con USE_HTTPS=1</t>
        </is>
      </c>
      <c r="J76" s="3" t="inlineStr">
        <is>
          <t>—</t>
        </is>
      </c>
      <c r="K76" s="3" t="inlineStr">
        <is>
          <t>Con HTTP se ve la X-API-Key en claro (riesgo aceptado en laboratorio, documentado); con HTTPS no.</t>
        </is>
      </c>
      <c r="L76" s="3" t="inlineStr"/>
      <c r="M76" s="3" t="inlineStr">
        <is>
          <t>Pendiente</t>
        </is>
      </c>
      <c r="N76" s="3" t="inlineStr"/>
      <c r="O76" s="3" t="inlineStr"/>
      <c r="P76" s="3" t="inlineStr"/>
      <c r="Q76" s="3" t="inlineStr"/>
    </row>
  </sheetData>
  <autoFilter ref="A1:Q76"/>
  <conditionalFormatting sqref="M2:M7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"En curso"</formula>
    </cfRule>
    <cfRule type="cellIs" priority="4" operator="equal" dxfId="3">
      <formula>"Bloqueado"</formula>
    </cfRule>
  </conditionalFormatting>
  <dataValidations count="1">
    <dataValidation sqref="M2:M76" showDropDown="0" showInputMessage="0" showErrorMessage="0" allowBlank="0" type="list">
      <formula1>"Pendiente,En curso,Pasó,Falló,Bloqueado,No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Nivel</t>
        </is>
      </c>
      <c r="B1" s="4" t="inlineStr">
        <is>
          <t>Componente</t>
        </is>
      </c>
      <c r="C1" s="4" t="inlineStr">
        <is>
          <t>Total</t>
        </is>
      </c>
      <c r="D1" s="4" t="inlineStr">
        <is>
          <t>Pendiente</t>
        </is>
      </c>
      <c r="E1" s="4" t="inlineStr">
        <is>
          <t>En curso</t>
        </is>
      </c>
      <c r="F1" s="4" t="inlineStr">
        <is>
          <t>Pasó</t>
        </is>
      </c>
      <c r="G1" s="4" t="inlineStr">
        <is>
          <t>Falló</t>
        </is>
      </c>
      <c r="H1" s="4" t="inlineStr">
        <is>
          <t>Bloqueado</t>
        </is>
      </c>
      <c r="I1" s="4" t="inlineStr">
        <is>
          <t>No aplica</t>
        </is>
      </c>
      <c r="J1" s="4" t="inlineStr">
        <is>
          <t>% Pasó</t>
        </is>
      </c>
    </row>
    <row r="2">
      <c r="A2" t="inlineStr">
        <is>
          <t>N0</t>
        </is>
      </c>
      <c r="B2" t="inlineStr">
        <is>
          <t>Entorno AWS y Docker</t>
        </is>
      </c>
      <c r="C2">
        <f>COUNTIF(Casos!$B$2:$B$76,A2)</f>
        <v/>
      </c>
      <c r="D2">
        <f>COUNTIFS(Casos!$B$2:$B$76,$A2,Casos!$M$2:$M$76,D$1)</f>
        <v/>
      </c>
      <c r="E2">
        <f>COUNTIFS(Casos!$B$2:$B$76,$A2,Casos!$M$2:$M$76,E$1)</f>
        <v/>
      </c>
      <c r="F2">
        <f>COUNTIFS(Casos!$B$2:$B$76,$A2,Casos!$M$2:$M$76,F$1)</f>
        <v/>
      </c>
      <c r="G2">
        <f>COUNTIFS(Casos!$B$2:$B$76,$A2,Casos!$M$2:$M$76,G$1)</f>
        <v/>
      </c>
      <c r="H2">
        <f>COUNTIFS(Casos!$B$2:$B$76,$A2,Casos!$M$2:$M$76,H$1)</f>
        <v/>
      </c>
      <c r="I2">
        <f>COUNTIFS(Casos!$B$2:$B$76,$A2,Casos!$M$2:$M$76,I$1)</f>
        <v/>
      </c>
      <c r="J2" s="5">
        <f>IF(C2=0,0,F2/C2)</f>
        <v/>
      </c>
    </row>
    <row r="3">
      <c r="A3" t="inlineStr">
        <is>
          <t>N1</t>
        </is>
      </c>
      <c r="B3" t="inlineStr">
        <is>
          <t>Sensor ↔ ESP32</t>
        </is>
      </c>
      <c r="C3">
        <f>COUNTIF(Casos!$B$2:$B$76,A3)</f>
        <v/>
      </c>
      <c r="D3">
        <f>COUNTIFS(Casos!$B$2:$B$76,$A3,Casos!$M$2:$M$76,D$1)</f>
        <v/>
      </c>
      <c r="E3">
        <f>COUNTIFS(Casos!$B$2:$B$76,$A3,Casos!$M$2:$M$76,E$1)</f>
        <v/>
      </c>
      <c r="F3">
        <f>COUNTIFS(Casos!$B$2:$B$76,$A3,Casos!$M$2:$M$76,F$1)</f>
        <v/>
      </c>
      <c r="G3">
        <f>COUNTIFS(Casos!$B$2:$B$76,$A3,Casos!$M$2:$M$76,G$1)</f>
        <v/>
      </c>
      <c r="H3">
        <f>COUNTIFS(Casos!$B$2:$B$76,$A3,Casos!$M$2:$M$76,H$1)</f>
        <v/>
      </c>
      <c r="I3">
        <f>COUNTIFS(Casos!$B$2:$B$76,$A3,Casos!$M$2:$M$76,I$1)</f>
        <v/>
      </c>
      <c r="J3" s="5">
        <f>IF(C3=0,0,F3/C3)</f>
        <v/>
      </c>
    </row>
    <row r="4">
      <c r="A4" t="inlineStr">
        <is>
          <t>N2</t>
        </is>
      </c>
      <c r="B4" t="inlineStr">
        <is>
          <t>ESP32 ↔ Red WiFi / NTP / ESP32 ↔ API (contrato HTTP)</t>
        </is>
      </c>
      <c r="C4">
        <f>COUNTIF(Casos!$B$2:$B$76,A4)</f>
        <v/>
      </c>
      <c r="D4">
        <f>COUNTIFS(Casos!$B$2:$B$76,$A4,Casos!$M$2:$M$76,D$1)</f>
        <v/>
      </c>
      <c r="E4">
        <f>COUNTIFS(Casos!$B$2:$B$76,$A4,Casos!$M$2:$M$76,E$1)</f>
        <v/>
      </c>
      <c r="F4">
        <f>COUNTIFS(Casos!$B$2:$B$76,$A4,Casos!$M$2:$M$76,F$1)</f>
        <v/>
      </c>
      <c r="G4">
        <f>COUNTIFS(Casos!$B$2:$B$76,$A4,Casos!$M$2:$M$76,G$1)</f>
        <v/>
      </c>
      <c r="H4">
        <f>COUNTIFS(Casos!$B$2:$B$76,$A4,Casos!$M$2:$M$76,H$1)</f>
        <v/>
      </c>
      <c r="I4">
        <f>COUNTIFS(Casos!$B$2:$B$76,$A4,Casos!$M$2:$M$76,I$1)</f>
        <v/>
      </c>
      <c r="J4" s="5">
        <f>IF(C4=0,0,F4/C4)</f>
        <v/>
      </c>
    </row>
    <row r="5">
      <c r="A5" t="inlineStr">
        <is>
          <t>N3</t>
        </is>
      </c>
      <c r="B5" t="inlineStr">
        <is>
          <t>API ↔ Base de datos</t>
        </is>
      </c>
      <c r="C5">
        <f>COUNTIF(Casos!$B$2:$B$76,A5)</f>
        <v/>
      </c>
      <c r="D5">
        <f>COUNTIFS(Casos!$B$2:$B$76,$A5,Casos!$M$2:$M$76,D$1)</f>
        <v/>
      </c>
      <c r="E5">
        <f>COUNTIFS(Casos!$B$2:$B$76,$A5,Casos!$M$2:$M$76,E$1)</f>
        <v/>
      </c>
      <c r="F5">
        <f>COUNTIFS(Casos!$B$2:$B$76,$A5,Casos!$M$2:$M$76,F$1)</f>
        <v/>
      </c>
      <c r="G5">
        <f>COUNTIFS(Casos!$B$2:$B$76,$A5,Casos!$M$2:$M$76,G$1)</f>
        <v/>
      </c>
      <c r="H5">
        <f>COUNTIFS(Casos!$B$2:$B$76,$A5,Casos!$M$2:$M$76,H$1)</f>
        <v/>
      </c>
      <c r="I5">
        <f>COUNTIFS(Casos!$B$2:$B$76,$A5,Casos!$M$2:$M$76,I$1)</f>
        <v/>
      </c>
      <c r="J5" s="5">
        <f>IF(C5=0,0,F5/C5)</f>
        <v/>
      </c>
    </row>
    <row r="6">
      <c r="A6" t="inlineStr">
        <is>
          <t>N4</t>
        </is>
      </c>
      <c r="B6" t="inlineStr">
        <is>
          <t>Extremo a extremo</t>
        </is>
      </c>
      <c r="C6">
        <f>COUNTIF(Casos!$B$2:$B$76,A6)</f>
        <v/>
      </c>
      <c r="D6">
        <f>COUNTIFS(Casos!$B$2:$B$76,$A6,Casos!$M$2:$M$76,D$1)</f>
        <v/>
      </c>
      <c r="E6">
        <f>COUNTIFS(Casos!$B$2:$B$76,$A6,Casos!$M$2:$M$76,E$1)</f>
        <v/>
      </c>
      <c r="F6">
        <f>COUNTIFS(Casos!$B$2:$B$76,$A6,Casos!$M$2:$M$76,F$1)</f>
        <v/>
      </c>
      <c r="G6">
        <f>COUNTIFS(Casos!$B$2:$B$76,$A6,Casos!$M$2:$M$76,G$1)</f>
        <v/>
      </c>
      <c r="H6">
        <f>COUNTIFS(Casos!$B$2:$B$76,$A6,Casos!$M$2:$M$76,H$1)</f>
        <v/>
      </c>
      <c r="I6">
        <f>COUNTIFS(Casos!$B$2:$B$76,$A6,Casos!$M$2:$M$76,I$1)</f>
        <v/>
      </c>
      <c r="J6" s="5">
        <f>IF(C6=0,0,F6/C6)</f>
        <v/>
      </c>
    </row>
    <row r="7">
      <c r="A7" t="inlineStr">
        <is>
          <t>N5</t>
        </is>
      </c>
      <c r="B7" t="inlineStr">
        <is>
          <t>No funcionales</t>
        </is>
      </c>
      <c r="C7">
        <f>COUNTIF(Casos!$B$2:$B$76,A7)</f>
        <v/>
      </c>
      <c r="D7">
        <f>COUNTIFS(Casos!$B$2:$B$76,$A7,Casos!$M$2:$M$76,D$1)</f>
        <v/>
      </c>
      <c r="E7">
        <f>COUNTIFS(Casos!$B$2:$B$76,$A7,Casos!$M$2:$M$76,E$1)</f>
        <v/>
      </c>
      <c r="F7">
        <f>COUNTIFS(Casos!$B$2:$B$76,$A7,Casos!$M$2:$M$76,F$1)</f>
        <v/>
      </c>
      <c r="G7">
        <f>COUNTIFS(Casos!$B$2:$B$76,$A7,Casos!$M$2:$M$76,G$1)</f>
        <v/>
      </c>
      <c r="H7">
        <f>COUNTIFS(Casos!$B$2:$B$76,$A7,Casos!$M$2:$M$76,H$1)</f>
        <v/>
      </c>
      <c r="I7">
        <f>COUNTIFS(Casos!$B$2:$B$76,$A7,Casos!$M$2:$M$76,I$1)</f>
        <v/>
      </c>
      <c r="J7" s="5">
        <f>IF(C7=0,0,F7/C7)</f>
        <v/>
      </c>
    </row>
    <row r="8">
      <c r="A8" t="inlineStr">
        <is>
          <t>N6</t>
        </is>
      </c>
      <c r="B8" t="inlineStr">
        <is>
          <t>Seguridad básica</t>
        </is>
      </c>
      <c r="C8">
        <f>COUNTIF(Casos!$B$2:$B$76,A8)</f>
        <v/>
      </c>
      <c r="D8">
        <f>COUNTIFS(Casos!$B$2:$B$76,$A8,Casos!$M$2:$M$76,D$1)</f>
        <v/>
      </c>
      <c r="E8">
        <f>COUNTIFS(Casos!$B$2:$B$76,$A8,Casos!$M$2:$M$76,E$1)</f>
        <v/>
      </c>
      <c r="F8">
        <f>COUNTIFS(Casos!$B$2:$B$76,$A8,Casos!$M$2:$M$76,F$1)</f>
        <v/>
      </c>
      <c r="G8">
        <f>COUNTIFS(Casos!$B$2:$B$76,$A8,Casos!$M$2:$M$76,G$1)</f>
        <v/>
      </c>
      <c r="H8">
        <f>COUNTIFS(Casos!$B$2:$B$76,$A8,Casos!$M$2:$M$76,H$1)</f>
        <v/>
      </c>
      <c r="I8">
        <f>COUNTIFS(Casos!$B$2:$B$76,$A8,Casos!$M$2:$M$76,I$1)</f>
        <v/>
      </c>
      <c r="J8" s="5">
        <f>IF(C8=0,0,F8/C8)</f>
        <v/>
      </c>
    </row>
    <row r="9">
      <c r="A9" s="6" t="inlineStr">
        <is>
          <t>TOTAL</t>
        </is>
      </c>
      <c r="B9" s="6" t="inlineStr"/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7">
        <f>IF(C9=0,0,F9/C9)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70" customWidth="1" min="2" max="2"/>
    <col width="10" customWidth="1" min="3" max="3"/>
    <col width="90" customWidth="1" min="4" max="4"/>
  </cols>
  <sheetData>
    <row r="1">
      <c r="A1" s="4" t="inlineStr">
        <is>
          <t>Requisito</t>
        </is>
      </c>
      <c r="B1" s="4" t="inlineStr">
        <is>
          <t>Descripción</t>
        </is>
      </c>
      <c r="C1" s="4" t="inlineStr">
        <is>
          <t>N.º casos</t>
        </is>
      </c>
      <c r="D1" s="4" t="inlineStr">
        <is>
          <t>Casos</t>
        </is>
      </c>
    </row>
    <row r="2">
      <c r="A2" s="8" t="inlineStr">
        <is>
          <t>RF-01</t>
        </is>
      </c>
      <c r="B2" s="8" t="inlineStr">
        <is>
          <t>El sistema mide temperatura y humedad con el sensor conectado al ESP32.</t>
        </is>
      </c>
      <c r="C2" s="8" t="n">
        <v>4</v>
      </c>
      <c r="D2" s="8" t="inlineStr">
        <is>
          <t>IT-SEN-01, IT-SEN-03, IT-SEN-04, IT-SEN-05</t>
        </is>
      </c>
    </row>
    <row r="3">
      <c r="A3" s="8" t="inlineStr">
        <is>
          <t>RF-02</t>
        </is>
      </c>
      <c r="B3" s="8" t="inlineStr">
        <is>
          <t>El ESP32 se conecta a la red WiFi y recupera la conexión tras una caída.</t>
        </is>
      </c>
      <c r="C3" s="8" t="n">
        <v>3</v>
      </c>
      <c r="D3" s="8" t="inlineStr">
        <is>
          <t>IT-NET-01, IT-NET-02, IT-NET-03</t>
        </is>
      </c>
    </row>
    <row r="4">
      <c r="A4" s="8" t="inlineStr">
        <is>
          <t>RF-03</t>
        </is>
      </c>
      <c r="B4" s="8" t="inlineStr">
        <is>
          <t>El ESP32 envía cada lectura a la API en JSON, autenticado con API key.</t>
        </is>
      </c>
      <c r="C4" s="8" t="n">
        <v>2</v>
      </c>
      <c r="D4" s="8" t="inlineStr">
        <is>
          <t>IT-ENV-02, IT-API-18</t>
        </is>
      </c>
    </row>
    <row r="5">
      <c r="A5" s="8" t="inlineStr">
        <is>
          <t>RF-04</t>
        </is>
      </c>
      <c r="B5" s="8" t="inlineStr">
        <is>
          <t>La API valida el contenido y lo persiste en la base SQL.</t>
        </is>
      </c>
      <c r="C5" s="8" t="n">
        <v>12</v>
      </c>
      <c r="D5" s="8" t="inlineStr">
        <is>
          <t>IT-ENV-04, IT-API-01, IT-API-05, IT-API-07, IT-API-08, IT-API-10, IT-DB-01, IT-DB-05, IT-DB-06, IT-DB-07, IT-DB-10, IT-E2E-02</t>
        </is>
      </c>
    </row>
    <row r="6">
      <c r="A6" s="8" t="inlineStr">
        <is>
          <t>RF-05</t>
        </is>
      </c>
      <c r="B6" s="8" t="inlineStr">
        <is>
          <t>No se pierden ni se duplican lecturas ante reintentos, cortes o reinicios.</t>
        </is>
      </c>
      <c r="C6" s="8" t="n">
        <v>12</v>
      </c>
      <c r="D6" s="8" t="inlineStr">
        <is>
          <t>IT-SEN-02, IT-API-02, IT-API-12, IT-API-19, IT-API-20, IT-DB-02, IT-DB-03, IT-E2E-01, IT-E2E-03, IT-E2E-04, IT-NFR-02, IT-NFR-08</t>
        </is>
      </c>
    </row>
    <row r="7">
      <c r="A7" s="8" t="inlineStr">
        <is>
          <t>RF-06</t>
        </is>
      </c>
      <c r="B7" s="8" t="inlineStr">
        <is>
          <t>Las lecturas pueden consultarse por dispositivo y rango de tiempo.</t>
        </is>
      </c>
      <c r="C7" s="8" t="n">
        <v>3</v>
      </c>
      <c r="D7" s="8" t="inlineStr">
        <is>
          <t>IT-API-14, IT-API-15, IT-E2E-06</t>
        </is>
      </c>
    </row>
    <row r="8">
      <c r="A8" s="8" t="inlineStr">
        <is>
          <t>RF-07</t>
        </is>
      </c>
      <c r="B8" s="8" t="inlineStr">
        <is>
          <t>Se pueden agregar nuevas magnitudes (p. ej. PM2.5) sin cambiar el esquema.</t>
        </is>
      </c>
      <c r="C8" s="8" t="n">
        <v>2</v>
      </c>
      <c r="D8" s="8" t="inlineStr">
        <is>
          <t>IT-DB-04, IT-E2E-07</t>
        </is>
      </c>
    </row>
    <row r="9">
      <c r="A9" s="8" t="inlineStr">
        <is>
          <t>RF-08</t>
        </is>
      </c>
      <c r="B9" s="8" t="inlineStr">
        <is>
          <t>Un dashboard de Grafana muestra las lecturas almacenadas (temperatura, humedad, estado de los dispositivos).</t>
        </is>
      </c>
      <c r="C9" s="8" t="n">
        <v>1</v>
      </c>
      <c r="D9" s="8" t="inlineStr">
        <is>
          <t>IT-ENV-07</t>
        </is>
      </c>
    </row>
    <row r="10">
      <c r="A10" s="8" t="inlineStr">
        <is>
          <t>RNF-01</t>
        </is>
      </c>
      <c r="B10" s="8" t="inlineStr">
        <is>
          <t>Latencia de entrega (ESP32 → BD) con p95 menor a 2 s en condiciones normales.</t>
        </is>
      </c>
      <c r="C10" s="8" t="n">
        <v>3</v>
      </c>
      <c r="D10" s="8" t="inlineStr">
        <is>
          <t>IT-NFR-01, IT-NFR-03, IT-NFR-04</t>
        </is>
      </c>
    </row>
    <row r="11">
      <c r="A11" s="8" t="inlineStr">
        <is>
          <t>RNF-02</t>
        </is>
      </c>
      <c r="B11" s="8" t="inlineStr">
        <is>
          <t>El sistema se recupera solo tras caídas de red, API, BD o energía.</t>
        </is>
      </c>
      <c r="C11" s="8" t="n">
        <v>13</v>
      </c>
      <c r="D11" s="8" t="inlineStr">
        <is>
          <t>IT-ENV-01, IT-ENV-05, IT-ENV-06, IT-ENV-08, IT-NET-05, IT-API-17, IT-API-21, IT-DB-08, IT-DB-11, IT-NFR-05, IT-NFR-06, IT-NFR-07, IT-NFR-09</t>
        </is>
      </c>
    </row>
    <row r="12">
      <c r="A12" s="8" t="inlineStr">
        <is>
          <t>RNF-03</t>
        </is>
      </c>
      <c r="B12" s="8" t="inlineStr">
        <is>
          <t>Seguridad básica: autenticación, validación de entradas, BD no expuesta, sin secretos en el código.</t>
        </is>
      </c>
      <c r="C12" s="8" t="n">
        <v>16</v>
      </c>
      <c r="D12" s="8" t="inlineStr">
        <is>
          <t>IT-ENV-03, IT-API-03, IT-API-04, IT-API-06, IT-API-09, IT-API-13, IT-API-16, IT-SEC-01, IT-SEC-02, IT-SEC-03, IT-SEC-04, IT-SEC-05, IT-SEC-06, IT-SEC-07, IT-SEC-08, IT-SEC-09</t>
        </is>
      </c>
    </row>
    <row r="13">
      <c r="A13" s="8" t="inlineStr">
        <is>
          <t>RNF-04</t>
        </is>
      </c>
      <c r="B13" s="8" t="inlineStr">
        <is>
          <t>Trazabilidad temporal: cada lectura tiene hora del dispositivo (NTP) y hora del servidor.</t>
        </is>
      </c>
      <c r="C13" s="8" t="n">
        <v>4</v>
      </c>
      <c r="D13" s="8" t="inlineStr">
        <is>
          <t>IT-NET-04, IT-API-11, IT-DB-09, IT-E2E-05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2026-10-10T15:16:11Z</dcterms:created>
  <dcterms:modified xsi:type="dcterms:W3CDTF">2026-10-10T15:16:11Z</dcterms:modified>
</cp:coreProperties>
</file>